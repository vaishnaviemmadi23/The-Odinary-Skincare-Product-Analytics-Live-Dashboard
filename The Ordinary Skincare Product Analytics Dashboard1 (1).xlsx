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/>
  <xr:revisionPtr revIDLastSave="0" documentId="8_{20EEE23F-D32A-4B90-84E7-817C7BDFD1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3" r:id="rId1"/>
    <sheet name="Montly_revenue" sheetId="4" r:id="rId2"/>
    <sheet name="Top produtcs" sheetId="5" r:id="rId3"/>
    <sheet name="Revenue by City" sheetId="6" r:id="rId4"/>
    <sheet name="Revenue by Channel" sheetId="7" r:id="rId5"/>
    <sheet name="Revenue by Skin Type" sheetId="8" r:id="rId6"/>
    <sheet name="Revenue by Category" sheetId="9" r:id="rId7"/>
    <sheet name="The_Ordinary_Sales" sheetId="1" r:id="rId8"/>
  </sheets>
  <externalReferences>
    <externalReference r:id="rId9"/>
  </externalReferences>
  <definedNames>
    <definedName name="Slicer_Category">#N/A</definedName>
    <definedName name="Slicer_City">#N/A</definedName>
    <definedName name="Slicer_Month">#N/A</definedName>
    <definedName name="Slicer_Purchase_Channel">#N/A</definedName>
    <definedName name="Slicer_Skin_Type">#N/A</definedName>
  </definedNames>
  <calcPr calcId="191028"/>
  <pivotCaches>
    <pivotCache cacheId="203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1" l="1"/>
  <c r="L7" i="3"/>
  <c r="AD7" i="3"/>
  <c r="R7" i="3"/>
  <c r="F7" i="3"/>
  <c r="X7" i="3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" i="1"/>
</calcChain>
</file>

<file path=xl/sharedStrings.xml><?xml version="1.0" encoding="utf-8"?>
<sst xmlns="http://schemas.openxmlformats.org/spreadsheetml/2006/main" count="2085" uniqueCount="418">
  <si>
    <t xml:space="preserve">                                         THE ODINARY SKINCARE PRODUCT ANALYTICS DASHBOARD-FY-2025                                                           </t>
  </si>
  <si>
    <t>Month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</si>
  <si>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</si>
  <si>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</si>
  <si>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</si>
  <si>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</si>
  <si>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</si>
  <si>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</si>
  <si>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</si>
  <si>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</si>
  <si>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</si>
  <si>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</si>
  <si>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</si>
  <si>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</si>
  <si>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</si>
  <si>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</si>
  <si>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Product</t>
  </si>
  <si>
    <t>AHA 30% + BHA 2% Peel</t>
  </si>
  <si>
    <t>Natural Moisturizing Factors</t>
  </si>
  <si>
    <t>Salicylic Acid 2% Solution</t>
  </si>
  <si>
    <t>Hyaluronic Acid 2% + B5</t>
  </si>
  <si>
    <t>Glycolic Acid 7% Toner</t>
  </si>
  <si>
    <t>Caffeine Solution 5%</t>
  </si>
  <si>
    <t>Alpha Arbutin 2%</t>
  </si>
  <si>
    <t>Niacinamide 10% + Zinc 1%</t>
  </si>
  <si>
    <t>City</t>
  </si>
  <si>
    <t>Ahmedabad</t>
  </si>
  <si>
    <t>Bangalore</t>
  </si>
  <si>
    <t>Chennai</t>
  </si>
  <si>
    <t>Delhi</t>
  </si>
  <si>
    <t>Hyderabad</t>
  </si>
  <si>
    <t>Kolkata</t>
  </si>
  <si>
    <t>Mumbai</t>
  </si>
  <si>
    <t>Pune</t>
  </si>
  <si>
    <t>Purchase_Channel</t>
  </si>
  <si>
    <t>Amazon</t>
  </si>
  <si>
    <t>Flipkart</t>
  </si>
  <si>
    <t>Nykaa</t>
  </si>
  <si>
    <t>Website</t>
  </si>
  <si>
    <t>Skin_Type</t>
  </si>
  <si>
    <t>Combination</t>
  </si>
  <si>
    <t>Dry</t>
  </si>
  <si>
    <t>Normal</t>
  </si>
  <si>
    <t>Oily</t>
  </si>
  <si>
    <t>Sensitive</t>
  </si>
  <si>
    <t>Category</t>
  </si>
  <si>
    <t>Eye Care</t>
  </si>
  <si>
    <t>Moisturizer</t>
  </si>
  <si>
    <t>Peeling</t>
  </si>
  <si>
    <t>Serum</t>
  </si>
  <si>
    <t>Toner</t>
  </si>
  <si>
    <t>Order_ID</t>
  </si>
  <si>
    <t>Date</t>
  </si>
  <si>
    <t>Customer_ID</t>
  </si>
  <si>
    <t>Age</t>
  </si>
  <si>
    <t>Gender</t>
  </si>
  <si>
    <t>Quantity</t>
  </si>
  <si>
    <t>Unit_Price</t>
  </si>
  <si>
    <t>Revenue</t>
  </si>
  <si>
    <t>Discount_%</t>
  </si>
  <si>
    <t>Rating</t>
  </si>
  <si>
    <t>ORD001</t>
  </si>
  <si>
    <t>C077</t>
  </si>
  <si>
    <t>Male</t>
  </si>
  <si>
    <t>ORD002</t>
  </si>
  <si>
    <t>C113</t>
  </si>
  <si>
    <t>Female</t>
  </si>
  <si>
    <t>ORD003</t>
  </si>
  <si>
    <t>C066</t>
  </si>
  <si>
    <t>ORD004</t>
  </si>
  <si>
    <t>C065</t>
  </si>
  <si>
    <t>ORD005</t>
  </si>
  <si>
    <t>C042</t>
  </si>
  <si>
    <t>ORD006</t>
  </si>
  <si>
    <t>C068</t>
  </si>
  <si>
    <t>ORD007</t>
  </si>
  <si>
    <t>C055</t>
  </si>
  <si>
    <t>ORD008</t>
  </si>
  <si>
    <t>C060</t>
  </si>
  <si>
    <t>ORD009</t>
  </si>
  <si>
    <t>C001</t>
  </si>
  <si>
    <t>ORD010</t>
  </si>
  <si>
    <t>C064</t>
  </si>
  <si>
    <t>ORD011</t>
  </si>
  <si>
    <t>C046</t>
  </si>
  <si>
    <t>ORD012</t>
  </si>
  <si>
    <t>C120</t>
  </si>
  <si>
    <t>ORD013</t>
  </si>
  <si>
    <t>C039</t>
  </si>
  <si>
    <t>ORD014</t>
  </si>
  <si>
    <t>C072</t>
  </si>
  <si>
    <t>ORD015</t>
  </si>
  <si>
    <t>C048</t>
  </si>
  <si>
    <t>ORD016</t>
  </si>
  <si>
    <t>C014</t>
  </si>
  <si>
    <t>ORD017</t>
  </si>
  <si>
    <t>C032</t>
  </si>
  <si>
    <t>ORD018</t>
  </si>
  <si>
    <t>ORD019</t>
  </si>
  <si>
    <t>C118</t>
  </si>
  <si>
    <t>ORD020</t>
  </si>
  <si>
    <t>C012</t>
  </si>
  <si>
    <t>ORD021</t>
  </si>
  <si>
    <t>C059</t>
  </si>
  <si>
    <t>ORD022</t>
  </si>
  <si>
    <t>C035</t>
  </si>
  <si>
    <t>ORD023</t>
  </si>
  <si>
    <t>ORD024</t>
  </si>
  <si>
    <t>C029</t>
  </si>
  <si>
    <t>ORD025</t>
  </si>
  <si>
    <t>C104</t>
  </si>
  <si>
    <t>ORD026</t>
  </si>
  <si>
    <t>C078</t>
  </si>
  <si>
    <t>ORD027</t>
  </si>
  <si>
    <t>C112</t>
  </si>
  <si>
    <t>ORD028</t>
  </si>
  <si>
    <t>ORD029</t>
  </si>
  <si>
    <t>C004</t>
  </si>
  <si>
    <t>ORD030</t>
  </si>
  <si>
    <t>C030</t>
  </si>
  <si>
    <t>ORD031</t>
  </si>
  <si>
    <t>ORD032</t>
  </si>
  <si>
    <t>C105</t>
  </si>
  <si>
    <t>ORD033</t>
  </si>
  <si>
    <t>C002</t>
  </si>
  <si>
    <t>ORD034</t>
  </si>
  <si>
    <t>C003</t>
  </si>
  <si>
    <t>ORD035</t>
  </si>
  <si>
    <t>ORD036</t>
  </si>
  <si>
    <t>C038</t>
  </si>
  <si>
    <t>ORD037</t>
  </si>
  <si>
    <t>ORD038</t>
  </si>
  <si>
    <t>C089</t>
  </si>
  <si>
    <t>ORD039</t>
  </si>
  <si>
    <t>C019</t>
  </si>
  <si>
    <t>ORD040</t>
  </si>
  <si>
    <t>C086</t>
  </si>
  <si>
    <t>ORD041</t>
  </si>
  <si>
    <t>C119</t>
  </si>
  <si>
    <t>ORD042</t>
  </si>
  <si>
    <t>C095</t>
  </si>
  <si>
    <t>ORD043</t>
  </si>
  <si>
    <t>C033</t>
  </si>
  <si>
    <t>ORD044</t>
  </si>
  <si>
    <t>C025</t>
  </si>
  <si>
    <t>ORD045</t>
  </si>
  <si>
    <t>C021</t>
  </si>
  <si>
    <t>ORD046</t>
  </si>
  <si>
    <t>C083</t>
  </si>
  <si>
    <t>ORD047</t>
  </si>
  <si>
    <t>C009</t>
  </si>
  <si>
    <t>ORD048</t>
  </si>
  <si>
    <t>C041</t>
  </si>
  <si>
    <t>ORD049</t>
  </si>
  <si>
    <t>C015</t>
  </si>
  <si>
    <t>ORD050</t>
  </si>
  <si>
    <t>C017</t>
  </si>
  <si>
    <t>ORD051</t>
  </si>
  <si>
    <t>ORD052</t>
  </si>
  <si>
    <t>ORD053</t>
  </si>
  <si>
    <t>C053</t>
  </si>
  <si>
    <t>ORD054</t>
  </si>
  <si>
    <t>C097</t>
  </si>
  <si>
    <t>ORD055</t>
  </si>
  <si>
    <t>ORD056</t>
  </si>
  <si>
    <t>ORD057</t>
  </si>
  <si>
    <t>ORD058</t>
  </si>
  <si>
    <t>C071</t>
  </si>
  <si>
    <t>ORD059</t>
  </si>
  <si>
    <t>C096</t>
  </si>
  <si>
    <t>ORD060</t>
  </si>
  <si>
    <t>ORD061</t>
  </si>
  <si>
    <t>C052</t>
  </si>
  <si>
    <t>ORD062</t>
  </si>
  <si>
    <t>C088</t>
  </si>
  <si>
    <t>ORD063</t>
  </si>
  <si>
    <t>ORD064</t>
  </si>
  <si>
    <t>C116</t>
  </si>
  <si>
    <t>ORD065</t>
  </si>
  <si>
    <t>ORD066</t>
  </si>
  <si>
    <t>ORD067</t>
  </si>
  <si>
    <t>ORD068</t>
  </si>
  <si>
    <t>ORD069</t>
  </si>
  <si>
    <t>C110</t>
  </si>
  <si>
    <t>ORD070</t>
  </si>
  <si>
    <t>C093</t>
  </si>
  <si>
    <t>ORD071</t>
  </si>
  <si>
    <t>ORD072</t>
  </si>
  <si>
    <t>C036</t>
  </si>
  <si>
    <t>ORD073</t>
  </si>
  <si>
    <t>C034</t>
  </si>
  <si>
    <t>ORD074</t>
  </si>
  <si>
    <t>C109</t>
  </si>
  <si>
    <t>ORD075</t>
  </si>
  <si>
    <t>C058</t>
  </si>
  <si>
    <t>ORD076</t>
  </si>
  <si>
    <t>C079</t>
  </si>
  <si>
    <t>ORD077</t>
  </si>
  <si>
    <t>C117</t>
  </si>
  <si>
    <t>ORD078</t>
  </si>
  <si>
    <t>ORD079</t>
  </si>
  <si>
    <t>ORD080</t>
  </si>
  <si>
    <t>C073</t>
  </si>
  <si>
    <t>ORD081</t>
  </si>
  <si>
    <t>ORD082</t>
  </si>
  <si>
    <t>ORD083</t>
  </si>
  <si>
    <t>C074</t>
  </si>
  <si>
    <t>ORD084</t>
  </si>
  <si>
    <t>ORD085</t>
  </si>
  <si>
    <t>C082</t>
  </si>
  <si>
    <t>ORD086</t>
  </si>
  <si>
    <t>C010</t>
  </si>
  <si>
    <t>ORD087</t>
  </si>
  <si>
    <t>C114</t>
  </si>
  <si>
    <t>ORD088</t>
  </si>
  <si>
    <t>ORD089</t>
  </si>
  <si>
    <t>ORD090</t>
  </si>
  <si>
    <t>ORD091</t>
  </si>
  <si>
    <t>ORD092</t>
  </si>
  <si>
    <t>ORD093</t>
  </si>
  <si>
    <t>C063</t>
  </si>
  <si>
    <t>ORD094</t>
  </si>
  <si>
    <t>ORD095</t>
  </si>
  <si>
    <t>ORD096</t>
  </si>
  <si>
    <t>ORD097</t>
  </si>
  <si>
    <t>ORD098</t>
  </si>
  <si>
    <t>ORD099</t>
  </si>
  <si>
    <t>ORD100</t>
  </si>
  <si>
    <t>C006</t>
  </si>
  <si>
    <t>ORD101</t>
  </si>
  <si>
    <t>C076</t>
  </si>
  <si>
    <t>ORD102</t>
  </si>
  <si>
    <t>ORD103</t>
  </si>
  <si>
    <t>ORD104</t>
  </si>
  <si>
    <t>C051</t>
  </si>
  <si>
    <t>ORD105</t>
  </si>
  <si>
    <t>ORD106</t>
  </si>
  <si>
    <t>C084</t>
  </si>
  <si>
    <t>ORD107</t>
  </si>
  <si>
    <t>ORD108</t>
  </si>
  <si>
    <t>ORD109</t>
  </si>
  <si>
    <t>ORD110</t>
  </si>
  <si>
    <t>ORD111</t>
  </si>
  <si>
    <t>C054</t>
  </si>
  <si>
    <t>ORD112</t>
  </si>
  <si>
    <t>ORD113</t>
  </si>
  <si>
    <t>ORD114</t>
  </si>
  <si>
    <t>C070</t>
  </si>
  <si>
    <t>ORD115</t>
  </si>
  <si>
    <t>ORD116</t>
  </si>
  <si>
    <t>C106</t>
  </si>
  <si>
    <t>ORD117</t>
  </si>
  <si>
    <t>C018</t>
  </si>
  <si>
    <t>ORD118</t>
  </si>
  <si>
    <t>ORD119</t>
  </si>
  <si>
    <t>ORD120</t>
  </si>
  <si>
    <t>C022</t>
  </si>
  <si>
    <t>ORD121</t>
  </si>
  <si>
    <t>ORD122</t>
  </si>
  <si>
    <t>ORD123</t>
  </si>
  <si>
    <t>ORD124</t>
  </si>
  <si>
    <t>ORD125</t>
  </si>
  <si>
    <t>C031</t>
  </si>
  <si>
    <t>ORD126</t>
  </si>
  <si>
    <t>ORD127</t>
  </si>
  <si>
    <t>ORD128</t>
  </si>
  <si>
    <t>C108</t>
  </si>
  <si>
    <t>ORD129</t>
  </si>
  <si>
    <t>C107</t>
  </si>
  <si>
    <t>ORD130</t>
  </si>
  <si>
    <t>ORD131</t>
  </si>
  <si>
    <t>C044</t>
  </si>
  <si>
    <t>ORD132</t>
  </si>
  <si>
    <t>ORD133</t>
  </si>
  <si>
    <t>ORD134</t>
  </si>
  <si>
    <t>C056</t>
  </si>
  <si>
    <t>ORD135</t>
  </si>
  <si>
    <t>ORD136</t>
  </si>
  <si>
    <t>ORD137</t>
  </si>
  <si>
    <t>C075</t>
  </si>
  <si>
    <t>ORD138</t>
  </si>
  <si>
    <t>ORD139</t>
  </si>
  <si>
    <t>C098</t>
  </si>
  <si>
    <t>ORD140</t>
  </si>
  <si>
    <t>ORD141</t>
  </si>
  <si>
    <t>ORD142</t>
  </si>
  <si>
    <t>C067</t>
  </si>
  <si>
    <t>ORD143</t>
  </si>
  <si>
    <t>C091</t>
  </si>
  <si>
    <t>ORD144</t>
  </si>
  <si>
    <t>ORD145</t>
  </si>
  <si>
    <t>ORD146</t>
  </si>
  <si>
    <t>C047</t>
  </si>
  <si>
    <t>ORD147</t>
  </si>
  <si>
    <t>C092</t>
  </si>
  <si>
    <t>ORD148</t>
  </si>
  <si>
    <t>ORD149</t>
  </si>
  <si>
    <t>C085</t>
  </si>
  <si>
    <t>ORD150</t>
  </si>
  <si>
    <t>ORD151</t>
  </si>
  <si>
    <t>ORD152</t>
  </si>
  <si>
    <t>C101</t>
  </si>
  <si>
    <t>ORD153</t>
  </si>
  <si>
    <t>ORD154</t>
  </si>
  <si>
    <t>ORD155</t>
  </si>
  <si>
    <t>ORD156</t>
  </si>
  <si>
    <t>ORD157</t>
  </si>
  <si>
    <t>C111</t>
  </si>
  <si>
    <t>ORD158</t>
  </si>
  <si>
    <t>ORD159</t>
  </si>
  <si>
    <t>ORD160</t>
  </si>
  <si>
    <t>ORD161</t>
  </si>
  <si>
    <t>ORD162</t>
  </si>
  <si>
    <t>C028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</si>
  <si>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</si>
  <si>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</si>
  <si>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</si>
  <si>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</si>
  <si>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</si>
  <si>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</si>
  <si>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</si>
  <si>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</si>
  <si>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</si>
  <si>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</si>
  <si>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</si>
  <si>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</si>
  <si>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</si>
  <si>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C099</t>
  </si>
  <si>
    <t>ORD176</t>
  </si>
  <si>
    <t>ORD177</t>
  </si>
  <si>
    <t>ORD178</t>
  </si>
  <si>
    <t>ORD179</t>
  </si>
  <si>
    <t>C090</t>
  </si>
  <si>
    <t>ORD180</t>
  </si>
  <si>
    <t>ORD181</t>
  </si>
  <si>
    <t>C080</t>
  </si>
  <si>
    <t>ORD182</t>
  </si>
  <si>
    <t>ORD183</t>
  </si>
  <si>
    <t>ORD184</t>
  </si>
  <si>
    <t>C037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</si>
  <si>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</si>
  <si>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</si>
  <si>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</si>
  <si>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</si>
  <si>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</si>
  <si>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</si>
  <si>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</si>
  <si>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</si>
  <si>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C103</t>
  </si>
  <si>
    <t>ORD193</t>
  </si>
  <si>
    <t>C007</t>
  </si>
  <si>
    <t>ORD194</t>
  </si>
  <si>
    <t>C115</t>
  </si>
  <si>
    <t>ORD195</t>
  </si>
  <si>
    <t>ORD196</t>
  </si>
  <si>
    <t>ORD197</t>
  </si>
  <si>
    <t>ORD198</t>
  </si>
  <si>
    <t>C045</t>
  </si>
  <si>
    <t>ORD199</t>
  </si>
  <si>
    <t>ORD200</t>
  </si>
  <si>
    <t>C062</t>
  </si>
  <si>
    <t>ORD201</t>
  </si>
  <si>
    <t>ORD202</t>
  </si>
  <si>
    <t>C102</t>
  </si>
  <si>
    <t>ORD203</t>
  </si>
  <si>
    <t>ORD204</t>
  </si>
  <si>
    <t>ORD205</t>
  </si>
  <si>
    <t>ORD206</t>
  </si>
  <si>
    <t>C020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</si>
  <si>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</si>
  <si>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</si>
  <si>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</si>
  <si>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</si>
  <si>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</si>
  <si>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</si>
  <si>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</si>
  <si>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</si>
  <si>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</si>
  <si>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</si>
  <si>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</si>
  <si>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C100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</si>
  <si>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</si>
  <si>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</si>
  <si>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</si>
  <si>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</si>
  <si>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</si>
  <si>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</si>
  <si>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</si>
  <si>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</si>
  <si>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</si>
  <si>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</si>
  <si>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</si>
  <si>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</si>
  <si>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</si>
  <si>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</si>
  <si>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</si>
  <si>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</si>
  <si>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</si>
  <si>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</si>
  <si>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</si>
  <si>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</si>
  <si>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</si>
  <si>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</si>
  <si>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</si>
  <si>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</si>
  <si>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</si>
  <si>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</si>
  <si>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</si>
  <si>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</si>
  <si>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C050</t>
  </si>
  <si>
    <t>ORD246</t>
  </si>
  <si>
    <t>C043</t>
  </si>
  <si>
    <t>ORD247</t>
  </si>
  <si>
    <t>ORD248</t>
  </si>
  <si>
    <t>ORD249</t>
  </si>
  <si>
    <t>C011</t>
  </si>
  <si>
    <t>ORD250</t>
  </si>
  <si>
    <t>ORD251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</si>
</sst>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yy;@"/>
  </numFmts>
  <fonts count="5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rgb="FFFFFFFF"/>
      <name val="Batang"/>
    </font>
    <font>
      <b/>
      <sz val="20"/>
      <color theme="6" tint="-0.499984740745262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Dashboard1.xlsx]Montly_revenue!PivotTable3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6933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76933C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76933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76933C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76933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76933C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76933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76933C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6933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76933C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6933C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F6228"/>
              </a:solidFill>
              <a:ln w="9525">
                <a:solidFill>
                  <a:srgbClr val="76933C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Montly_revenue!$A$4:$A$16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Montly_revenue!$B$4:$B$16</c:f>
              <c:numCache>
                <c:formatCode>General</c:formatCode>
                <c:ptCount val="12"/>
                <c:pt idx="0">
                  <c:v>43470</c:v>
                </c:pt>
                <c:pt idx="1">
                  <c:v>35022.5</c:v>
                </c:pt>
                <c:pt idx="2">
                  <c:v>37517.5</c:v>
                </c:pt>
                <c:pt idx="3">
                  <c:v>39947.5</c:v>
                </c:pt>
                <c:pt idx="4">
                  <c:v>24612.5</c:v>
                </c:pt>
                <c:pt idx="5">
                  <c:v>26755</c:v>
                </c:pt>
                <c:pt idx="6">
                  <c:v>51122.5</c:v>
                </c:pt>
                <c:pt idx="7">
                  <c:v>28132.5</c:v>
                </c:pt>
                <c:pt idx="8">
                  <c:v>42325</c:v>
                </c:pt>
                <c:pt idx="9">
                  <c:v>28267.5</c:v>
                </c:pt>
                <c:pt idx="10">
                  <c:v>36952.5</c:v>
                </c:pt>
                <c:pt idx="11">
                  <c:v>30620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C-4376-9725-2A1CF50AC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424071"/>
        <c:axId val="1894712327"/>
      </c:lineChart>
      <c:catAx>
        <c:axId val="18944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12327"/>
        <c:crosses val="autoZero"/>
        <c:auto val="1"/>
        <c:lblAlgn val="ctr"/>
        <c:lblOffset val="100"/>
        <c:noMultiLvlLbl val="0"/>
      </c:catAx>
      <c:valAx>
        <c:axId val="1894712327"/>
        <c:scaling>
          <c:orientation val="minMax"/>
          <c:min val="2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424071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Dashboard1.xlsx]Top produtcs!PivotTable4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622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produtcs'!$B$3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62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produtcs'!$A$4:$A$12</c:f>
              <c:strCache>
                <c:ptCount val="8"/>
                <c:pt idx="0">
                  <c:v>AHA 30% + BHA 2% Peel</c:v>
                </c:pt>
                <c:pt idx="1">
                  <c:v>Natural Moisturizing Factors</c:v>
                </c:pt>
                <c:pt idx="2">
                  <c:v>Salicylic Acid 2% Solution</c:v>
                </c:pt>
                <c:pt idx="3">
                  <c:v>Hyaluronic Acid 2% + B5</c:v>
                </c:pt>
                <c:pt idx="4">
                  <c:v>Glycolic Acid 7% Toner</c:v>
                </c:pt>
                <c:pt idx="5">
                  <c:v>Caffeine Solution 5%</c:v>
                </c:pt>
                <c:pt idx="6">
                  <c:v>Alpha Arbutin 2%</c:v>
                </c:pt>
                <c:pt idx="7">
                  <c:v>Niacinamide 10% + Zinc 1%</c:v>
                </c:pt>
              </c:strCache>
            </c:strRef>
          </c:cat>
          <c:val>
            <c:numRef>
              <c:f>'Top produtcs'!$B$4:$B$12</c:f>
              <c:numCache>
                <c:formatCode>General</c:formatCode>
                <c:ptCount val="8"/>
                <c:pt idx="0">
                  <c:v>82530</c:v>
                </c:pt>
                <c:pt idx="1">
                  <c:v>67575</c:v>
                </c:pt>
                <c:pt idx="2">
                  <c:v>55125</c:v>
                </c:pt>
                <c:pt idx="3">
                  <c:v>52130</c:v>
                </c:pt>
                <c:pt idx="4">
                  <c:v>51487.5</c:v>
                </c:pt>
                <c:pt idx="5">
                  <c:v>47850</c:v>
                </c:pt>
                <c:pt idx="6">
                  <c:v>40960</c:v>
                </c:pt>
                <c:pt idx="7">
                  <c:v>27087.5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E-4BC0-8951-9608165D5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4717959"/>
        <c:axId val="1894771719"/>
      </c:barChart>
      <c:catAx>
        <c:axId val="1894717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71719"/>
        <c:crosses val="autoZero"/>
        <c:auto val="1"/>
        <c:lblAlgn val="ctr"/>
        <c:lblOffset val="100"/>
        <c:noMultiLvlLbl val="0"/>
      </c:catAx>
      <c:valAx>
        <c:axId val="1894771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17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Dashboard1.xlsx]Revenue by City!PivotTable5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79B"/>
            </a:solidFill>
            <a:ln>
              <a:noFill/>
            </a:ln>
            <a:effectLst/>
          </c:spPr>
          <c:invertIfNegative val="0"/>
          <c:cat>
            <c:strRef>
              <c:f>'Revenue by City'!$A$4:$A$12</c:f>
              <c:strCache>
                <c:ptCount val="8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'Revenue by City'!$B$4:$B$12</c:f>
              <c:numCache>
                <c:formatCode>General</c:formatCode>
                <c:ptCount val="8"/>
                <c:pt idx="0">
                  <c:v>46570</c:v>
                </c:pt>
                <c:pt idx="1">
                  <c:v>62102.5</c:v>
                </c:pt>
                <c:pt idx="2">
                  <c:v>38462.5</c:v>
                </c:pt>
                <c:pt idx="3">
                  <c:v>52860</c:v>
                </c:pt>
                <c:pt idx="4">
                  <c:v>45165</c:v>
                </c:pt>
                <c:pt idx="5">
                  <c:v>63405</c:v>
                </c:pt>
                <c:pt idx="6">
                  <c:v>72872.5</c:v>
                </c:pt>
                <c:pt idx="7">
                  <c:v>43307.5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3-4C15-BE5F-8870A42B7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35591"/>
        <c:axId val="1915688455"/>
      </c:barChart>
      <c:catAx>
        <c:axId val="1895235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88455"/>
        <c:crosses val="autoZero"/>
        <c:auto val="1"/>
        <c:lblAlgn val="ctr"/>
        <c:lblOffset val="100"/>
        <c:noMultiLvlLbl val="0"/>
      </c:catAx>
      <c:valAx>
        <c:axId val="1915688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5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Dashboard1.xlsx]Revenue by Channel!PivotTable6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Purchase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Channel'!$B$3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F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F1-4F2F-B9B3-5F1C2DCB5053}"/>
              </c:ext>
            </c:extLst>
          </c:dPt>
          <c:dPt>
            <c:idx val="1"/>
            <c:bubble3D val="0"/>
            <c:spPr>
              <a:solidFill>
                <a:srgbClr val="C4D7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F1-4F2F-B9B3-5F1C2DCB50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F1-4F2F-B9B3-5F1C2DCB5053}"/>
              </c:ext>
            </c:extLst>
          </c:dPt>
          <c:dPt>
            <c:idx val="3"/>
            <c:bubble3D val="0"/>
            <c:spPr>
              <a:solidFill>
                <a:srgbClr val="EBF1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F1-4F2F-B9B3-5F1C2DCB50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Channel'!$A$4:$A$8</c:f>
              <c:strCache>
                <c:ptCount val="4"/>
                <c:pt idx="0">
                  <c:v>Amazon</c:v>
                </c:pt>
                <c:pt idx="1">
                  <c:v>Flipkart</c:v>
                </c:pt>
                <c:pt idx="2">
                  <c:v>Nykaa</c:v>
                </c:pt>
                <c:pt idx="3">
                  <c:v>Website</c:v>
                </c:pt>
              </c:strCache>
            </c:strRef>
          </c:cat>
          <c:val>
            <c:numRef>
              <c:f>'Revenue by Channel'!$B$4:$B$8</c:f>
              <c:numCache>
                <c:formatCode>General</c:formatCode>
                <c:ptCount val="4"/>
                <c:pt idx="0">
                  <c:v>129115</c:v>
                </c:pt>
                <c:pt idx="1">
                  <c:v>109962.5</c:v>
                </c:pt>
                <c:pt idx="2">
                  <c:v>94435</c:v>
                </c:pt>
                <c:pt idx="3">
                  <c:v>91232.5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F1-4F2F-B9B3-5F1C2DCB5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Dashboard1.xlsx]Revenue by Skin Type!PivotTable7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Skin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BB59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8.666178385416666E-2"/>
              <c:y val="-1.3332790798611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33C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6.6609700520833329E-2"/>
              <c:y val="3.49392361111110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F6228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5.7698567708334356E-3"/>
              <c:y val="8.0525716145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BF1DE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6.9791666666666669E-2"/>
              <c:y val="-2.46988932291666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3.7117513020833333E-2"/>
              <c:y val="-6.8562825520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BBB59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8.666178385416666E-2"/>
              <c:y val="-1.3332790798611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6933C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6.6609700520833329E-2"/>
              <c:y val="3.49392361111110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F6228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5.7698567708334356E-3"/>
              <c:y val="8.0525716145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BF1DE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6.9791666666666669E-2"/>
              <c:y val="-2.46988932291666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2D050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3.7117513020833333E-2"/>
              <c:y val="-6.8562825520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BBB59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8.666178385416666E-2"/>
              <c:y val="-1.3332790798611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6933C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6.6609700520833329E-2"/>
              <c:y val="3.49392361111110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4F6228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5.7698567708334356E-3"/>
              <c:y val="8.0525716145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EBF1DE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6.9791666666666669E-2"/>
              <c:y val="-2.46988932291666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3.7117513020833333E-2"/>
              <c:y val="-6.8562825520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9BBB59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8.666178385416666E-2"/>
              <c:y val="-1.3332790798611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76933C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6.6609700520833329E-2"/>
              <c:y val="3.49392361111110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4F6228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5.7698567708334356E-3"/>
              <c:y val="8.0525716145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EBF1DE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6.9791666666666669E-2"/>
              <c:y val="-2.46988932291666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92D050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3.7117513020833333E-2"/>
              <c:y val="-6.8562825520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9BBB59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8.666178385416666E-2"/>
              <c:y val="-1.3332790798611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76933C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6.6609700520833329E-2"/>
              <c:y val="3.49392361111110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4F6228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5.7698567708334356E-3"/>
              <c:y val="8.0525716145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EBF1DE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6.9791666666666669E-2"/>
              <c:y val="-2.46988932291666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92D050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3.7117513020833333E-2"/>
              <c:y val="-6.8562825520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'Revenue by Skin Type'!$B$3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9BBB59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8E-4D47-BFE6-D60F0F91898A}"/>
              </c:ext>
            </c:extLst>
          </c:dPt>
          <c:dPt>
            <c:idx val="1"/>
            <c:bubble3D val="0"/>
            <c:spPr>
              <a:solidFill>
                <a:srgbClr val="76933C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8E-4D47-BFE6-D60F0F91898A}"/>
              </c:ext>
            </c:extLst>
          </c:dPt>
          <c:dPt>
            <c:idx val="2"/>
            <c:bubble3D val="0"/>
            <c:spPr>
              <a:solidFill>
                <a:srgbClr val="4F6228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8E-4D47-BFE6-D60F0F91898A}"/>
              </c:ext>
            </c:extLst>
          </c:dPt>
          <c:dPt>
            <c:idx val="3"/>
            <c:bubble3D val="0"/>
            <c:spPr>
              <a:solidFill>
                <a:srgbClr val="EBF1DE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8E-4D47-BFE6-D60F0F91898A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E-4D47-BFE6-D60F0F91898A}"/>
              </c:ext>
            </c:extLst>
          </c:dPt>
          <c:dLbls>
            <c:dLbl>
              <c:idx val="0"/>
              <c:layout>
                <c:manualLayout>
                  <c:x val="8.666178385416666E-2"/>
                  <c:y val="-1.333279079861111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8E-4D47-BFE6-D60F0F91898A}"/>
                </c:ext>
              </c:extLst>
            </c:dLbl>
            <c:dLbl>
              <c:idx val="1"/>
              <c:layout>
                <c:manualLayout>
                  <c:x val="6.6609700520833329E-2"/>
                  <c:y val="3.49392361111110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8E-4D47-BFE6-D60F0F91898A}"/>
                </c:ext>
              </c:extLst>
            </c:dLbl>
            <c:dLbl>
              <c:idx val="2"/>
              <c:layout>
                <c:manualLayout>
                  <c:x val="-5.7698567708334356E-3"/>
                  <c:y val="8.05257161458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8E-4D47-BFE6-D60F0F91898A}"/>
                </c:ext>
              </c:extLst>
            </c:dLbl>
            <c:dLbl>
              <c:idx val="3"/>
              <c:layout>
                <c:manualLayout>
                  <c:x val="-6.9791666666666669E-2"/>
                  <c:y val="-2.469889322916666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48E-4D47-BFE6-D60F0F91898A}"/>
                </c:ext>
              </c:extLst>
            </c:dLbl>
            <c:dLbl>
              <c:idx val="4"/>
              <c:layout>
                <c:manualLayout>
                  <c:x val="-3.7117513020833333E-2"/>
                  <c:y val="-6.85628255208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8E-4D47-BFE6-D60F0F9189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'Revenue by Skin Type'!$A$4:$A$9</c:f>
              <c:strCache>
                <c:ptCount val="5"/>
                <c:pt idx="0">
                  <c:v>Combination</c:v>
                </c:pt>
                <c:pt idx="1">
                  <c:v>Dry</c:v>
                </c:pt>
                <c:pt idx="2">
                  <c:v>Normal</c:v>
                </c:pt>
                <c:pt idx="3">
                  <c:v>Oily</c:v>
                </c:pt>
                <c:pt idx="4">
                  <c:v>Sensitive</c:v>
                </c:pt>
              </c:strCache>
            </c:strRef>
          </c:cat>
          <c:val>
            <c:numRef>
              <c:f>'Revenue by Skin Type'!$B$4:$B$9</c:f>
              <c:numCache>
                <c:formatCode>General</c:formatCode>
                <c:ptCount val="5"/>
                <c:pt idx="0">
                  <c:v>98190</c:v>
                </c:pt>
                <c:pt idx="1">
                  <c:v>82412.5</c:v>
                </c:pt>
                <c:pt idx="2">
                  <c:v>67457.5</c:v>
                </c:pt>
                <c:pt idx="3">
                  <c:v>85987.5</c:v>
                </c:pt>
                <c:pt idx="4">
                  <c:v>90697.5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8E-4D47-BFE6-D60F0F918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Dashboard1.xlsx]Revenue by Category!PivotTable8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33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140307825854766E-2"/>
              <c:y val="-3.64732878160612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498347355769246E-2"/>
              <c:y val="-7.5128886774394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77627537393053E-2"/>
              <c:y val="-6.78950904780983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905590611645289E-2"/>
              <c:y val="5.41926109553063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828909588675195E-2"/>
              <c:y val="5.7757342303240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498347355769246E-2"/>
              <c:y val="-7.5128886774394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6933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140307825854766E-2"/>
              <c:y val="-3.64732878160612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828909588675195E-2"/>
              <c:y val="5.7757342303240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905590611645289E-2"/>
              <c:y val="5.41926109553063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77627537393053E-2"/>
              <c:y val="-6.78950904780983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498347355769246E-2"/>
              <c:y val="-7.5128886774394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6933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140307825854766E-2"/>
              <c:y val="-3.64732878160612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828909588675195E-2"/>
              <c:y val="5.7757342303240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905590611645289E-2"/>
              <c:y val="5.41926109553063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77627537393053E-2"/>
              <c:y val="-6.78950904780983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498347355769246E-2"/>
              <c:y val="-7.5128886774394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76933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140307825854766E-2"/>
              <c:y val="-3.64732878160612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828909588675195E-2"/>
              <c:y val="5.7757342303240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905590611645289E-2"/>
              <c:y val="5.41926109553063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77627537393053E-2"/>
              <c:y val="-6.78950904780983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498347355769246E-2"/>
              <c:y val="-7.5128886774394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76933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140307825854766E-2"/>
              <c:y val="-3.64732878160612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828909588675195E-2"/>
              <c:y val="5.7757342303240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905590611645289E-2"/>
              <c:y val="5.41926109553063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77627537393053E-2"/>
              <c:y val="-6.78950904780983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4D7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E8-4B2E-A788-0D13DF2C9E0E}"/>
              </c:ext>
            </c:extLst>
          </c:dPt>
          <c:dPt>
            <c:idx val="1"/>
            <c:bubble3D val="0"/>
            <c:spPr>
              <a:solidFill>
                <a:srgbClr val="7693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E8-4B2E-A788-0D13DF2C9E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E8-4B2E-A788-0D13DF2C9E0E}"/>
              </c:ext>
            </c:extLst>
          </c:dPt>
          <c:dPt>
            <c:idx val="3"/>
            <c:bubble3D val="0"/>
            <c:spPr>
              <a:solidFill>
                <a:srgbClr val="4F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E8-4B2E-A788-0D13DF2C9E0E}"/>
              </c:ext>
            </c:extLst>
          </c:dPt>
          <c:dPt>
            <c:idx val="4"/>
            <c:bubble3D val="0"/>
            <c:spPr>
              <a:solidFill>
                <a:srgbClr val="EBF1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E8-4B2E-A788-0D13DF2C9E0E}"/>
              </c:ext>
            </c:extLst>
          </c:dPt>
          <c:dLbls>
            <c:dLbl>
              <c:idx val="0"/>
              <c:layout>
                <c:manualLayout>
                  <c:x val="1.8498347355769246E-2"/>
                  <c:y val="-7.512888677439455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E8-4B2E-A788-0D13DF2C9E0E}"/>
                </c:ext>
              </c:extLst>
            </c:dLbl>
            <c:dLbl>
              <c:idx val="1"/>
              <c:layout>
                <c:manualLayout>
                  <c:x val="5.5140307825854766E-2"/>
                  <c:y val="-3.647328781606121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E8-4B2E-A788-0D13DF2C9E0E}"/>
                </c:ext>
              </c:extLst>
            </c:dLbl>
            <c:dLbl>
              <c:idx val="2"/>
              <c:layout>
                <c:manualLayout>
                  <c:x val="5.5828909588675195E-2"/>
                  <c:y val="5.775734230324074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E8-4B2E-A788-0D13DF2C9E0E}"/>
                </c:ext>
              </c:extLst>
            </c:dLbl>
            <c:dLbl>
              <c:idx val="3"/>
              <c:layout>
                <c:manualLayout>
                  <c:x val="-4.1905590611645289E-2"/>
                  <c:y val="5.419261095530638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E8-4B2E-A788-0D13DF2C9E0E}"/>
                </c:ext>
              </c:extLst>
            </c:dLbl>
            <c:dLbl>
              <c:idx val="4"/>
              <c:layout>
                <c:manualLayout>
                  <c:x val="-2.3777627537393053E-2"/>
                  <c:y val="-6.789509047809834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E8-4B2E-A788-0D13DF2C9E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Category'!$A$4:$A$9</c:f>
              <c:strCache>
                <c:ptCount val="5"/>
                <c:pt idx="0">
                  <c:v>Eye Care</c:v>
                </c:pt>
                <c:pt idx="1">
                  <c:v>Moisturizer</c:v>
                </c:pt>
                <c:pt idx="2">
                  <c:v>Peeling</c:v>
                </c:pt>
                <c:pt idx="3">
                  <c:v>Serum</c:v>
                </c:pt>
                <c:pt idx="4">
                  <c:v>Toner</c:v>
                </c:pt>
              </c:strCache>
            </c:strRef>
          </c:cat>
          <c:val>
            <c:numRef>
              <c:f>'Revenue by Category'!$B$4:$B$9</c:f>
              <c:numCache>
                <c:formatCode>General</c:formatCode>
                <c:ptCount val="5"/>
                <c:pt idx="0">
                  <c:v>47850</c:v>
                </c:pt>
                <c:pt idx="1">
                  <c:v>67575</c:v>
                </c:pt>
                <c:pt idx="2">
                  <c:v>82530</c:v>
                </c:pt>
                <c:pt idx="3">
                  <c:v>175302.5</c:v>
                </c:pt>
                <c:pt idx="4">
                  <c:v>51487.5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E8-4B2E-A788-0D13DF2C9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Dashboard1.xlsx]Montly_revenue!PivotTable3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76933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6228"/>
            </a:solidFill>
            <a:ln w="9525">
              <a:solidFill>
                <a:srgbClr val="76933C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6933C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F6228"/>
              </a:solidFill>
              <a:ln w="9525">
                <a:solidFill>
                  <a:srgbClr val="76933C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Montly_revenue!$A$4:$A$16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Montly_revenue!$B$4:$B$16</c:f>
              <c:numCache>
                <c:formatCode>General</c:formatCode>
                <c:ptCount val="12"/>
                <c:pt idx="0">
                  <c:v>43470</c:v>
                </c:pt>
                <c:pt idx="1">
                  <c:v>35022.5</c:v>
                </c:pt>
                <c:pt idx="2">
                  <c:v>37517.5</c:v>
                </c:pt>
                <c:pt idx="3">
                  <c:v>39947.5</c:v>
                </c:pt>
                <c:pt idx="4">
                  <c:v>24612.5</c:v>
                </c:pt>
                <c:pt idx="5">
                  <c:v>26755</c:v>
                </c:pt>
                <c:pt idx="6">
                  <c:v>51122.5</c:v>
                </c:pt>
                <c:pt idx="7">
                  <c:v>28132.5</c:v>
                </c:pt>
                <c:pt idx="8">
                  <c:v>42325</c:v>
                </c:pt>
                <c:pt idx="9">
                  <c:v>28267.5</c:v>
                </c:pt>
                <c:pt idx="10">
                  <c:v>36952.5</c:v>
                </c:pt>
                <c:pt idx="11">
                  <c:v>30620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A-4DCB-8015-34825FBB2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424071"/>
        <c:axId val="1894712327"/>
      </c:lineChart>
      <c:catAx>
        <c:axId val="18944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12327"/>
        <c:crosses val="autoZero"/>
        <c:auto val="1"/>
        <c:lblAlgn val="ctr"/>
        <c:lblOffset val="100"/>
        <c:noMultiLvlLbl val="0"/>
      </c:catAx>
      <c:valAx>
        <c:axId val="1894712327"/>
        <c:scaling>
          <c:orientation val="minMax"/>
          <c:min val="2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424071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Dashboard1.xlsx]Top produtcs!PivotTable4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produtcs'!$B$3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933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produtcs'!$A$4:$A$12</c:f>
              <c:strCache>
                <c:ptCount val="8"/>
                <c:pt idx="0">
                  <c:v>AHA 30% + BHA 2% Peel</c:v>
                </c:pt>
                <c:pt idx="1">
                  <c:v>Natural Moisturizing Factors</c:v>
                </c:pt>
                <c:pt idx="2">
                  <c:v>Salicylic Acid 2% Solution</c:v>
                </c:pt>
                <c:pt idx="3">
                  <c:v>Hyaluronic Acid 2% + B5</c:v>
                </c:pt>
                <c:pt idx="4">
                  <c:v>Glycolic Acid 7% Toner</c:v>
                </c:pt>
                <c:pt idx="5">
                  <c:v>Caffeine Solution 5%</c:v>
                </c:pt>
                <c:pt idx="6">
                  <c:v>Alpha Arbutin 2%</c:v>
                </c:pt>
                <c:pt idx="7">
                  <c:v>Niacinamide 10% + Zinc 1%</c:v>
                </c:pt>
              </c:strCache>
            </c:strRef>
          </c:cat>
          <c:val>
            <c:numRef>
              <c:f>'Top produtcs'!$B$4:$B$12</c:f>
              <c:numCache>
                <c:formatCode>General</c:formatCode>
                <c:ptCount val="8"/>
                <c:pt idx="0">
                  <c:v>82530</c:v>
                </c:pt>
                <c:pt idx="1">
                  <c:v>67575</c:v>
                </c:pt>
                <c:pt idx="2">
                  <c:v>55125</c:v>
                </c:pt>
                <c:pt idx="3">
                  <c:v>52130</c:v>
                </c:pt>
                <c:pt idx="4">
                  <c:v>51487.5</c:v>
                </c:pt>
                <c:pt idx="5">
                  <c:v>47850</c:v>
                </c:pt>
                <c:pt idx="6">
                  <c:v>40960</c:v>
                </c:pt>
                <c:pt idx="7">
                  <c:v>27087.5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D-45BE-91CF-7DB9D583E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4717959"/>
        <c:axId val="1894771719"/>
      </c:barChart>
      <c:catAx>
        <c:axId val="1894717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71719"/>
        <c:crosses val="autoZero"/>
        <c:auto val="1"/>
        <c:lblAlgn val="ctr"/>
        <c:lblOffset val="100"/>
        <c:noMultiLvlLbl val="0"/>
      </c:catAx>
      <c:valAx>
        <c:axId val="1894771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17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Dashboard1.xlsx]Revenue by City!PivotTable5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933C"/>
            </a:solidFill>
            <a:ln>
              <a:noFill/>
            </a:ln>
            <a:effectLst/>
          </c:spPr>
          <c:invertIfNegative val="0"/>
          <c:cat>
            <c:strRef>
              <c:f>'Revenue by City'!$A$4:$A$12</c:f>
              <c:strCache>
                <c:ptCount val="8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'Revenue by City'!$B$4:$B$12</c:f>
              <c:numCache>
                <c:formatCode>General</c:formatCode>
                <c:ptCount val="8"/>
                <c:pt idx="0">
                  <c:v>46570</c:v>
                </c:pt>
                <c:pt idx="1">
                  <c:v>62102.5</c:v>
                </c:pt>
                <c:pt idx="2">
                  <c:v>38462.5</c:v>
                </c:pt>
                <c:pt idx="3">
                  <c:v>52860</c:v>
                </c:pt>
                <c:pt idx="4">
                  <c:v>45165</c:v>
                </c:pt>
                <c:pt idx="5">
                  <c:v>63405</c:v>
                </c:pt>
                <c:pt idx="6">
                  <c:v>72872.5</c:v>
                </c:pt>
                <c:pt idx="7">
                  <c:v>43307.5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2-4F58-B937-BF8887CF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35591"/>
        <c:axId val="1915688455"/>
      </c:barChart>
      <c:catAx>
        <c:axId val="1895235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88455"/>
        <c:crosses val="autoZero"/>
        <c:auto val="1"/>
        <c:lblAlgn val="ctr"/>
        <c:lblOffset val="100"/>
        <c:noMultiLvlLbl val="0"/>
      </c:catAx>
      <c:valAx>
        <c:axId val="1915688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5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Dashboard1.xlsx]Revenue by Channel!PivotTable6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Purchase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Channel'!$B$3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F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CF-4434-BF1B-55A58FB69B36}"/>
              </c:ext>
            </c:extLst>
          </c:dPt>
          <c:dPt>
            <c:idx val="1"/>
            <c:bubble3D val="0"/>
            <c:spPr>
              <a:solidFill>
                <a:srgbClr val="C4D7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CCF-4434-BF1B-55A58FB69B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F6-4279-AEA7-43E40E226FB7}"/>
              </c:ext>
            </c:extLst>
          </c:dPt>
          <c:dPt>
            <c:idx val="3"/>
            <c:bubble3D val="0"/>
            <c:spPr>
              <a:solidFill>
                <a:srgbClr val="EBF1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CF-4434-BF1B-55A58FB69B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Channel'!$A$4:$A$8</c:f>
              <c:strCache>
                <c:ptCount val="4"/>
                <c:pt idx="0">
                  <c:v>Amazon</c:v>
                </c:pt>
                <c:pt idx="1">
                  <c:v>Flipkart</c:v>
                </c:pt>
                <c:pt idx="2">
                  <c:v>Nykaa</c:v>
                </c:pt>
                <c:pt idx="3">
                  <c:v>Website</c:v>
                </c:pt>
              </c:strCache>
            </c:strRef>
          </c:cat>
          <c:val>
            <c:numRef>
              <c:f>'Revenue by Channel'!$B$4:$B$8</c:f>
              <c:numCache>
                <c:formatCode>General</c:formatCode>
                <c:ptCount val="4"/>
                <c:pt idx="0">
                  <c:v>129115</c:v>
                </c:pt>
                <c:pt idx="1">
                  <c:v>109962.5</c:v>
                </c:pt>
                <c:pt idx="2">
                  <c:v>94435</c:v>
                </c:pt>
                <c:pt idx="3">
                  <c:v>91232.5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F-4434-BF1B-55A58FB69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Dashboard1.xlsx]Revenue by Skin Type!PivotTable7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Skin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BB59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8.666178385416666E-2"/>
              <c:y val="-1.3332790798611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33C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6.6609700520833329E-2"/>
              <c:y val="3.49392361111110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F6228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5.7698567708334356E-3"/>
              <c:y val="8.0525716145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BF1DE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6.9791666666666669E-2"/>
              <c:y val="-2.46988932291666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 w="19050">
            <a:solidFill>
              <a:srgbClr val="FFFFFF"/>
            </a:solidFill>
            <a:prstDash val="solid"/>
          </a:ln>
          <a:effectLst/>
        </c:spPr>
        <c:dLbl>
          <c:idx val="0"/>
          <c:layout>
            <c:manualLayout>
              <c:x val="-3.7117513020833333E-2"/>
              <c:y val="-6.85628255208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'Revenue by Skin Type'!$B$3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9BBB59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71-43D6-B76A-FEFBF148E2B0}"/>
              </c:ext>
            </c:extLst>
          </c:dPt>
          <c:dPt>
            <c:idx val="1"/>
            <c:bubble3D val="0"/>
            <c:spPr>
              <a:solidFill>
                <a:srgbClr val="76933C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71-43D6-B76A-FEFBF148E2B0}"/>
              </c:ext>
            </c:extLst>
          </c:dPt>
          <c:dPt>
            <c:idx val="2"/>
            <c:bubble3D val="0"/>
            <c:spPr>
              <a:solidFill>
                <a:srgbClr val="4F6228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71-43D6-B76A-FEFBF148E2B0}"/>
              </c:ext>
            </c:extLst>
          </c:dPt>
          <c:dPt>
            <c:idx val="3"/>
            <c:bubble3D val="0"/>
            <c:spPr>
              <a:solidFill>
                <a:srgbClr val="EBF1DE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C771-43D6-B76A-FEFBF148E2B0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71-43D6-B76A-FEFBF148E2B0}"/>
              </c:ext>
            </c:extLst>
          </c:dPt>
          <c:dLbls>
            <c:dLbl>
              <c:idx val="0"/>
              <c:layout>
                <c:manualLayout>
                  <c:x val="8.666178385416666E-2"/>
                  <c:y val="-1.333279079861111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71-43D6-B76A-FEFBF148E2B0}"/>
                </c:ext>
              </c:extLst>
            </c:dLbl>
            <c:dLbl>
              <c:idx val="1"/>
              <c:layout>
                <c:manualLayout>
                  <c:x val="6.6609700520833329E-2"/>
                  <c:y val="3.49392361111110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71-43D6-B76A-FEFBF148E2B0}"/>
                </c:ext>
              </c:extLst>
            </c:dLbl>
            <c:dLbl>
              <c:idx val="2"/>
              <c:layout>
                <c:manualLayout>
                  <c:x val="-5.7698567708334356E-3"/>
                  <c:y val="8.05257161458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71-43D6-B76A-FEFBF148E2B0}"/>
                </c:ext>
              </c:extLst>
            </c:dLbl>
            <c:dLbl>
              <c:idx val="3"/>
              <c:layout>
                <c:manualLayout>
                  <c:x val="-6.9791666666666669E-2"/>
                  <c:y val="-2.469889322916666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71-43D6-B76A-FEFBF148E2B0}"/>
                </c:ext>
              </c:extLst>
            </c:dLbl>
            <c:dLbl>
              <c:idx val="4"/>
              <c:layout>
                <c:manualLayout>
                  <c:x val="-3.7117513020833333E-2"/>
                  <c:y val="-6.85628255208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71-43D6-B76A-FEFBF148E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'Revenue by Skin Type'!$A$4:$A$9</c:f>
              <c:strCache>
                <c:ptCount val="5"/>
                <c:pt idx="0">
                  <c:v>Combination</c:v>
                </c:pt>
                <c:pt idx="1">
                  <c:v>Dry</c:v>
                </c:pt>
                <c:pt idx="2">
                  <c:v>Normal</c:v>
                </c:pt>
                <c:pt idx="3">
                  <c:v>Oily</c:v>
                </c:pt>
                <c:pt idx="4">
                  <c:v>Sensitive</c:v>
                </c:pt>
              </c:strCache>
            </c:strRef>
          </c:cat>
          <c:val>
            <c:numRef>
              <c:f>'Revenue by Skin Type'!$B$4:$B$9</c:f>
              <c:numCache>
                <c:formatCode>General</c:formatCode>
                <c:ptCount val="5"/>
                <c:pt idx="0">
                  <c:v>98190</c:v>
                </c:pt>
                <c:pt idx="1">
                  <c:v>82412.5</c:v>
                </c:pt>
                <c:pt idx="2">
                  <c:v>67457.5</c:v>
                </c:pt>
                <c:pt idx="3">
                  <c:v>85987.5</c:v>
                </c:pt>
                <c:pt idx="4">
                  <c:v>90697.5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1-43D6-B76A-FEFBF148E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Ordinary Skincare Product Analytics Dashboard1.xlsx]Revenue by Category!PivotTable8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33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140307825854766E-2"/>
              <c:y val="-3.64732878160612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498347355769246E-2"/>
              <c:y val="-7.5128886774394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777627537393053E-2"/>
              <c:y val="-6.78950904780983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905590611645289E-2"/>
              <c:y val="5.41926109553063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828909588675195E-2"/>
              <c:y val="5.7757342303240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4D7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FA-498A-A292-4D5E7C881B51}"/>
              </c:ext>
            </c:extLst>
          </c:dPt>
          <c:dPt>
            <c:idx val="1"/>
            <c:bubble3D val="0"/>
            <c:spPr>
              <a:solidFill>
                <a:srgbClr val="7693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FA-498A-A292-4D5E7C881B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FA-498A-A292-4D5E7C881B51}"/>
              </c:ext>
            </c:extLst>
          </c:dPt>
          <c:dPt>
            <c:idx val="3"/>
            <c:bubble3D val="0"/>
            <c:spPr>
              <a:solidFill>
                <a:srgbClr val="4F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5FA-498A-A292-4D5E7C881B51}"/>
              </c:ext>
            </c:extLst>
          </c:dPt>
          <c:dPt>
            <c:idx val="4"/>
            <c:bubble3D val="0"/>
            <c:spPr>
              <a:solidFill>
                <a:srgbClr val="EBF1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FA-498A-A292-4D5E7C881B51}"/>
              </c:ext>
            </c:extLst>
          </c:dPt>
          <c:dLbls>
            <c:dLbl>
              <c:idx val="0"/>
              <c:layout>
                <c:manualLayout>
                  <c:x val="1.8498347355769246E-2"/>
                  <c:y val="-7.512888677439455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FA-498A-A292-4D5E7C881B51}"/>
                </c:ext>
              </c:extLst>
            </c:dLbl>
            <c:dLbl>
              <c:idx val="1"/>
              <c:layout>
                <c:manualLayout>
                  <c:x val="5.5140307825854766E-2"/>
                  <c:y val="-3.647328781606121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FA-498A-A292-4D5E7C881B51}"/>
                </c:ext>
              </c:extLst>
            </c:dLbl>
            <c:dLbl>
              <c:idx val="2"/>
              <c:layout>
                <c:manualLayout>
                  <c:x val="5.5828909588675195E-2"/>
                  <c:y val="5.775734230324074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FA-498A-A292-4D5E7C881B51}"/>
                </c:ext>
              </c:extLst>
            </c:dLbl>
            <c:dLbl>
              <c:idx val="3"/>
              <c:layout>
                <c:manualLayout>
                  <c:x val="-4.1905590611645289E-2"/>
                  <c:y val="5.419261095530638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FA-498A-A292-4D5E7C881B51}"/>
                </c:ext>
              </c:extLst>
            </c:dLbl>
            <c:dLbl>
              <c:idx val="4"/>
              <c:layout>
                <c:manualLayout>
                  <c:x val="-2.3777627537393053E-2"/>
                  <c:y val="-6.789509047809834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FA-498A-A292-4D5E7C881B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Category'!$A$4:$A$9</c:f>
              <c:strCache>
                <c:ptCount val="5"/>
                <c:pt idx="0">
                  <c:v>Eye Care</c:v>
                </c:pt>
                <c:pt idx="1">
                  <c:v>Moisturizer</c:v>
                </c:pt>
                <c:pt idx="2">
                  <c:v>Peeling</c:v>
                </c:pt>
                <c:pt idx="3">
                  <c:v>Serum</c:v>
                </c:pt>
                <c:pt idx="4">
                  <c:v>Toner</c:v>
                </c:pt>
              </c:strCache>
            </c:strRef>
          </c:cat>
          <c:val>
            <c:numRef>
              <c:f>'Revenue by Category'!$B$4:$B$9</c:f>
              <c:numCache>
                <c:formatCode>General</c:formatCode>
                <c:ptCount val="5"/>
                <c:pt idx="0">
                  <c:v>47850</c:v>
                </c:pt>
                <c:pt idx="1">
                  <c:v>67575</c:v>
                </c:pt>
                <c:pt idx="2">
                  <c:v>82530</c:v>
                </c:pt>
                <c:pt idx="3">
                  <c:v>175302.5</c:v>
                </c:pt>
                <c:pt idx="4">
                  <c:v>51487.5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A-498A-A292-4D5E7C881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xlsrvcdf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xlsrvcdf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</xdr:rowOff>
    </xdr:from>
    <xdr:to>
      <xdr:col>2</xdr:col>
      <xdr:colOff>171450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F38D97-E1FF-D7B9-C12E-35C9207A8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8575"/>
          <a:ext cx="1143000" cy="466725"/>
        </a:xfrm>
        <a:prstGeom prst="rect">
          <a:avLst/>
        </a:prstGeom>
      </xdr:spPr>
    </xdr:pic>
    <xdr:clientData/>
  </xdr:twoCellAnchor>
  <xdr:twoCellAnchor>
    <xdr:from>
      <xdr:col>0</xdr:col>
      <xdr:colOff>-409575</xdr:colOff>
      <xdr:row>0</xdr:row>
      <xdr:rowOff>-2762250</xdr:rowOff>
    </xdr:from>
    <xdr:to>
      <xdr:col>0</xdr:col>
      <xdr:colOff>-409575</xdr:colOff>
      <xdr:row>0</xdr:row>
      <xdr:rowOff>-2762250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D8A66EB1-9CEB-67CC-F4D7-BFB92C617304}"/>
            </a:ext>
            <a:ext uri="{147F2762-F138-4A5C-976F-8EAC2B608ADB}">
              <a16:predDERef xmlns:a16="http://schemas.microsoft.com/office/drawing/2014/main" pred="{48FFA09E-06D4-473D-B6C2-4BB7AB31DF90}"/>
            </a:ext>
          </a:extLst>
        </xdr:cNvPr>
        <xdr:cNvSpPr/>
      </xdr:nvSpPr>
      <xdr:spPr>
        <a:xfrm>
          <a:off x="-409575" y="-2762250"/>
          <a:ext cx="0" cy="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endParaRPr/>
        </a:p>
      </xdr:txBody>
    </xdr:sp>
    <xdr:clientData/>
  </xdr:twoCellAnchor>
  <xdr:twoCellAnchor>
    <xdr:from>
      <xdr:col>5</xdr:col>
      <xdr:colOff>476250</xdr:colOff>
      <xdr:row>6</xdr:row>
      <xdr:rowOff>76200</xdr:rowOff>
    </xdr:from>
    <xdr:to>
      <xdr:col>8</xdr:col>
      <xdr:colOff>400050</xdr:colOff>
      <xdr:row>8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11B3C6-FA70-8E7B-AABA-8F980D141C7E}"/>
            </a:ext>
            <a:ext uri="{147F2762-F138-4A5C-976F-8EAC2B608ADB}">
              <a16:predDERef xmlns:a16="http://schemas.microsoft.com/office/drawing/2014/main" pred="{D8A66EB1-9CEB-67CC-F4D7-BFB92C617304}"/>
            </a:ext>
          </a:extLst>
        </xdr:cNvPr>
        <xdr:cNvSpPr txBox="1"/>
      </xdr:nvSpPr>
      <xdr:spPr>
        <a:xfrm>
          <a:off x="3524250" y="1219200"/>
          <a:ext cx="1752600" cy="3714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bg1">
              <a:lumMod val="9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Cambria" panose="02040503050406030204" pitchFamily="18" charset="0"/>
              <a:ea typeface="Cambria" panose="02040503050406030204" pitchFamily="18" charset="0"/>
            </a:rPr>
            <a:t>TOTAL REVENUE 💰</a:t>
          </a:r>
        </a:p>
      </xdr:txBody>
    </xdr:sp>
    <xdr:clientData/>
  </xdr:twoCellAnchor>
  <xdr:twoCellAnchor>
    <xdr:from>
      <xdr:col>11</xdr:col>
      <xdr:colOff>190500</xdr:colOff>
      <xdr:row>6</xdr:row>
      <xdr:rowOff>9525</xdr:rowOff>
    </xdr:from>
    <xdr:to>
      <xdr:col>14</xdr:col>
      <xdr:colOff>390525</xdr:colOff>
      <xdr:row>7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D6F3E9-56D4-422B-8AA0-4C9635F1A10B}"/>
            </a:ext>
            <a:ext uri="{147F2762-F138-4A5C-976F-8EAC2B608ADB}">
              <a16:predDERef xmlns:a16="http://schemas.microsoft.com/office/drawing/2014/main" pred="{E311B3C6-FA70-8E7B-AABA-8F980D141C7E}"/>
            </a:ext>
          </a:extLst>
        </xdr:cNvPr>
        <xdr:cNvSpPr txBox="1"/>
      </xdr:nvSpPr>
      <xdr:spPr>
        <a:xfrm>
          <a:off x="6896100" y="1152525"/>
          <a:ext cx="2590800" cy="314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bg1">
              <a:lumMod val="9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Cambria" panose="02040503050406030204" pitchFamily="18" charset="0"/>
              <a:ea typeface="Cambria" panose="02040503050406030204" pitchFamily="18" charset="0"/>
            </a:rPr>
            <a:t>     TOTAL ODERS 📦</a:t>
          </a:r>
        </a:p>
      </xdr:txBody>
    </xdr:sp>
    <xdr:clientData/>
  </xdr:twoCellAnchor>
  <xdr:twoCellAnchor>
    <xdr:from>
      <xdr:col>17</xdr:col>
      <xdr:colOff>447675</xdr:colOff>
      <xdr:row>6</xdr:row>
      <xdr:rowOff>57150</xdr:rowOff>
    </xdr:from>
    <xdr:to>
      <xdr:col>20</xdr:col>
      <xdr:colOff>447675</xdr:colOff>
      <xdr:row>7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651837-2B89-E7B2-7044-20AE743620FA}"/>
            </a:ext>
            <a:ext uri="{147F2762-F138-4A5C-976F-8EAC2B608ADB}">
              <a16:predDERef xmlns:a16="http://schemas.microsoft.com/office/drawing/2014/main" pred="{42D6F3E9-56D4-422B-8AA0-4C9635F1A10B}"/>
            </a:ext>
          </a:extLst>
        </xdr:cNvPr>
        <xdr:cNvSpPr txBox="1"/>
      </xdr:nvSpPr>
      <xdr:spPr>
        <a:xfrm>
          <a:off x="11372850" y="1200150"/>
          <a:ext cx="1828800" cy="314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bg1">
              <a:lumMod val="9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Cambria" panose="02040503050406030204" pitchFamily="18" charset="0"/>
              <a:ea typeface="Cambria" panose="02040503050406030204" pitchFamily="18" charset="0"/>
            </a:rPr>
            <a:t>AVERAGE RATING⭐️</a:t>
          </a:r>
        </a:p>
      </xdr:txBody>
    </xdr:sp>
    <xdr:clientData/>
  </xdr:twoCellAnchor>
  <xdr:twoCellAnchor>
    <xdr:from>
      <xdr:col>23</xdr:col>
      <xdr:colOff>457200</xdr:colOff>
      <xdr:row>6</xdr:row>
      <xdr:rowOff>66675</xdr:rowOff>
    </xdr:from>
    <xdr:to>
      <xdr:col>26</xdr:col>
      <xdr:colOff>114300</xdr:colOff>
      <xdr:row>8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874A2A-2058-97DD-0873-98EF0CFEE705}"/>
            </a:ext>
            <a:ext uri="{147F2762-F138-4A5C-976F-8EAC2B608ADB}">
              <a16:predDERef xmlns:a16="http://schemas.microsoft.com/office/drawing/2014/main" pred="{60651837-2B89-E7B2-7044-20AE743620FA}"/>
            </a:ext>
          </a:extLst>
        </xdr:cNvPr>
        <xdr:cNvSpPr txBox="1"/>
      </xdr:nvSpPr>
      <xdr:spPr>
        <a:xfrm>
          <a:off x="15039975" y="1209675"/>
          <a:ext cx="1485900" cy="381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bg1">
              <a:lumMod val="9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Cambria" panose="02040503050406030204" pitchFamily="18" charset="0"/>
              <a:ea typeface="Cambria" panose="02040503050406030204" pitchFamily="18" charset="0"/>
            </a:rPr>
            <a:t>Avg Order Value</a:t>
          </a:r>
        </a:p>
      </xdr:txBody>
    </xdr:sp>
    <xdr:clientData/>
  </xdr:twoCellAnchor>
  <xdr:twoCellAnchor>
    <xdr:from>
      <xdr:col>29</xdr:col>
      <xdr:colOff>438150</xdr:colOff>
      <xdr:row>6</xdr:row>
      <xdr:rowOff>85725</xdr:rowOff>
    </xdr:from>
    <xdr:to>
      <xdr:col>32</xdr:col>
      <xdr:colOff>371475</xdr:colOff>
      <xdr:row>8</xdr:row>
      <xdr:rowOff>19050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EC8662-80DA-1694-4AF8-F7FA4D5EC156}"/>
            </a:ext>
            <a:ext uri="{147F2762-F138-4A5C-976F-8EAC2B608ADB}">
              <a16:predDERef xmlns:a16="http://schemas.microsoft.com/office/drawing/2014/main" pred="{48874A2A-2058-97DD-0873-98EF0CFEE705}"/>
            </a:ext>
          </a:extLst>
        </xdr:cNvPr>
        <xdr:cNvSpPr txBox="1"/>
      </xdr:nvSpPr>
      <xdr:spPr>
        <a:xfrm>
          <a:off x="18678525" y="1228725"/>
          <a:ext cx="1762125" cy="314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bg1">
              <a:lumMod val="9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Cambria" panose="02040503050406030204" pitchFamily="18" charset="0"/>
              <a:ea typeface="Cambria" panose="02040503050406030204" pitchFamily="18" charset="0"/>
            </a:rPr>
            <a:t>TOP PRODUCT 🔝</a:t>
          </a:r>
        </a:p>
      </xdr:txBody>
    </xdr:sp>
    <xdr:clientData/>
  </xdr:twoCellAnchor>
  <xdr:twoCellAnchor>
    <xdr:from>
      <xdr:col>5</xdr:col>
      <xdr:colOff>590550</xdr:colOff>
      <xdr:row>11</xdr:row>
      <xdr:rowOff>95250</xdr:rowOff>
    </xdr:from>
    <xdr:to>
      <xdr:col>13</xdr:col>
      <xdr:colOff>619125</xdr:colOff>
      <xdr:row>28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547C62-E264-496B-90CD-43D3D1CC9112}"/>
            </a:ext>
            <a:ext uri="{147F2762-F138-4A5C-976F-8EAC2B608ADB}">
              <a16:predDERef xmlns:a16="http://schemas.microsoft.com/office/drawing/2014/main" pred="{15EC8662-80DA-1694-4AF8-F7FA4D5EC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438150</xdr:colOff>
      <xdr:row>11</xdr:row>
      <xdr:rowOff>57150</xdr:rowOff>
    </xdr:from>
    <xdr:to>
      <xdr:col>32</xdr:col>
      <xdr:colOff>295275</xdr:colOff>
      <xdr:row>28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BC9E7D-3762-4350-9D9D-01B94113DA16}"/>
            </a:ext>
            <a:ext uri="{147F2762-F138-4A5C-976F-8EAC2B608ADB}">
              <a16:predDERef xmlns:a16="http://schemas.microsoft.com/office/drawing/2014/main" pred="{97547C62-E264-496B-90CD-43D3D1CC9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66675</xdr:colOff>
      <xdr:row>11</xdr:row>
      <xdr:rowOff>66675</xdr:rowOff>
    </xdr:from>
    <xdr:to>
      <xdr:col>22</xdr:col>
      <xdr:colOff>238125</xdr:colOff>
      <xdr:row>28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C36AB2-C1A9-4733-9110-D9F0E37CC75E}"/>
            </a:ext>
            <a:ext uri="{147F2762-F138-4A5C-976F-8EAC2B608ADB}">
              <a16:predDERef xmlns:a16="http://schemas.microsoft.com/office/drawing/2014/main" pred="{46BC9E7D-3762-4350-9D9D-01B94113D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85725</xdr:colOff>
      <xdr:row>29</xdr:row>
      <xdr:rowOff>133350</xdr:rowOff>
    </xdr:from>
    <xdr:to>
      <xdr:col>32</xdr:col>
      <xdr:colOff>561975</xdr:colOff>
      <xdr:row>46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295DCED-46DF-484C-A1C6-EB2462B89550}"/>
            </a:ext>
            <a:ext uri="{147F2762-F138-4A5C-976F-8EAC2B608ADB}">
              <a16:predDERef xmlns:a16="http://schemas.microsoft.com/office/drawing/2014/main" pred="{08C36AB2-C1A9-4733-9110-D9F0E37CC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542925</xdr:colOff>
      <xdr:row>30</xdr:row>
      <xdr:rowOff>28575</xdr:rowOff>
    </xdr:from>
    <xdr:to>
      <xdr:col>13</xdr:col>
      <xdr:colOff>657225</xdr:colOff>
      <xdr:row>46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5427FD3-59BF-4657-8DA3-5A486E3E0B7C}"/>
            </a:ext>
            <a:ext uri="{147F2762-F138-4A5C-976F-8EAC2B608ADB}">
              <a16:predDERef xmlns:a16="http://schemas.microsoft.com/office/drawing/2014/main" pred="{4295DCED-46DF-484C-A1C6-EB2462B89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123825</xdr:colOff>
      <xdr:row>30</xdr:row>
      <xdr:rowOff>9525</xdr:rowOff>
    </xdr:from>
    <xdr:to>
      <xdr:col>22</xdr:col>
      <xdr:colOff>228600</xdr:colOff>
      <xdr:row>46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43F7F6A-38F8-441B-909A-A1EE23F17F75}"/>
            </a:ext>
            <a:ext uri="{147F2762-F138-4A5C-976F-8EAC2B608ADB}">
              <a16:predDERef xmlns:a16="http://schemas.microsoft.com/office/drawing/2014/main" pred="{75427FD3-59BF-4657-8DA3-5A486E3E0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114300</xdr:colOff>
      <xdr:row>34</xdr:row>
      <xdr:rowOff>85725</xdr:rowOff>
    </xdr:from>
    <xdr:to>
      <xdr:col>4</xdr:col>
      <xdr:colOff>590550</xdr:colOff>
      <xdr:row>44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Month 1">
              <a:extLst>
                <a:ext uri="{FF2B5EF4-FFF2-40B4-BE49-F238E27FC236}">
                  <a16:creationId xmlns:a16="http://schemas.microsoft.com/office/drawing/2014/main" id="{1F2FFECF-DD27-7273-A60A-FB5D6DE9F56C}"/>
                </a:ext>
                <a:ext uri="{147F2762-F138-4A5C-976F-8EAC2B608ADB}">
                  <a16:predDERef xmlns:a16="http://schemas.microsoft.com/office/drawing/2014/main" pred="{243F7F6A-38F8-441B-909A-A1EE23F17F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6562725"/>
              <a:ext cx="2914650" cy="1952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133350</xdr:colOff>
      <xdr:row>25</xdr:row>
      <xdr:rowOff>57150</xdr:rowOff>
    </xdr:from>
    <xdr:to>
      <xdr:col>4</xdr:col>
      <xdr:colOff>438150</xdr:colOff>
      <xdr:row>33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City 1">
              <a:extLst>
                <a:ext uri="{FF2B5EF4-FFF2-40B4-BE49-F238E27FC236}">
                  <a16:creationId xmlns:a16="http://schemas.microsoft.com/office/drawing/2014/main" id="{9B733F1B-FA90-EB1A-A9B6-0BB65EC31B1A}"/>
                </a:ext>
                <a:ext uri="{147F2762-F138-4A5C-976F-8EAC2B608ADB}">
                  <a16:predDERef xmlns:a16="http://schemas.microsoft.com/office/drawing/2014/main" pred="{1F2FFECF-DD27-7273-A60A-FB5D6DE9F5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4819650"/>
              <a:ext cx="274320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17</xdr:row>
      <xdr:rowOff>133350</xdr:rowOff>
    </xdr:from>
    <xdr:to>
      <xdr:col>4</xdr:col>
      <xdr:colOff>428625</xdr:colOff>
      <xdr:row>24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Category 1">
              <a:extLst>
                <a:ext uri="{FF2B5EF4-FFF2-40B4-BE49-F238E27FC236}">
                  <a16:creationId xmlns:a16="http://schemas.microsoft.com/office/drawing/2014/main" id="{EAF0CD34-29CC-1AC6-6EE5-FDDCAEDDE69B}"/>
                </a:ext>
                <a:ext uri="{147F2762-F138-4A5C-976F-8EAC2B608ADB}">
                  <a16:predDERef xmlns:a16="http://schemas.microsoft.com/office/drawing/2014/main" pred="{9B733F1B-FA90-EB1A-A9B6-0BB65EC31B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3371850"/>
              <a:ext cx="27432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3</xdr:row>
      <xdr:rowOff>142875</xdr:rowOff>
    </xdr:from>
    <xdr:to>
      <xdr:col>4</xdr:col>
      <xdr:colOff>466725</xdr:colOff>
      <xdr:row>9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Skin_Type 1">
              <a:extLst>
                <a:ext uri="{FF2B5EF4-FFF2-40B4-BE49-F238E27FC236}">
                  <a16:creationId xmlns:a16="http://schemas.microsoft.com/office/drawing/2014/main" id="{C009906A-4C6B-99E6-14D3-21656AE523B9}"/>
                </a:ext>
                <a:ext uri="{147F2762-F138-4A5C-976F-8EAC2B608ADB}">
                  <a16:predDERef xmlns:a16="http://schemas.microsoft.com/office/drawing/2014/main" pred="{EAF0CD34-29CC-1AC6-6EE5-FDDCAEDDE6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in_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714375"/>
              <a:ext cx="2781300" cy="102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10</xdr:row>
      <xdr:rowOff>123825</xdr:rowOff>
    </xdr:from>
    <xdr:to>
      <xdr:col>4</xdr:col>
      <xdr:colOff>447675</xdr:colOff>
      <xdr:row>16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Purchase_Channel 1">
              <a:extLst>
                <a:ext uri="{FF2B5EF4-FFF2-40B4-BE49-F238E27FC236}">
                  <a16:creationId xmlns:a16="http://schemas.microsoft.com/office/drawing/2014/main" id="{C24B5A11-07BE-097A-1025-2427BA814A41}"/>
                </a:ext>
                <a:ext uri="{147F2762-F138-4A5C-976F-8EAC2B608ADB}">
                  <a16:predDERef xmlns:a16="http://schemas.microsoft.com/office/drawing/2014/main" pred="{C009906A-4C6B-99E6-14D3-21656AE523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_Channe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2028825"/>
              <a:ext cx="276225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20</xdr:col>
      <xdr:colOff>95250</xdr:colOff>
      <xdr:row>31</xdr:row>
      <xdr:rowOff>0</xdr:rowOff>
    </xdr:from>
    <xdr:to>
      <xdr:col>22</xdr:col>
      <xdr:colOff>142875</xdr:colOff>
      <xdr:row>33</xdr:row>
      <xdr:rowOff>142875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4011035-0B1B-4C21-965A-5C2746B8F7EC}"/>
            </a:ext>
            <a:ext uri="{147F2762-F138-4A5C-976F-8EAC2B608ADB}">
              <a16:predDERef xmlns:a16="http://schemas.microsoft.com/office/drawing/2014/main" pred="{C24B5A11-07BE-097A-1025-2427BA814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49225" y="5905500"/>
          <a:ext cx="1266825" cy="52387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30</xdr:row>
      <xdr:rowOff>161925</xdr:rowOff>
    </xdr:from>
    <xdr:to>
      <xdr:col>7</xdr:col>
      <xdr:colOff>123825</xdr:colOff>
      <xdr:row>32</xdr:row>
      <xdr:rowOff>57150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5BC22EA-642E-4DEA-9BAE-9D6EB163A8AF}"/>
            </a:ext>
            <a:ext uri="{147F2762-F138-4A5C-976F-8EAC2B608ADB}">
              <a16:predDERef xmlns:a16="http://schemas.microsoft.com/office/drawing/2014/main" pred="{D4011035-0B1B-4C21-965A-5C2746B8F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5876925"/>
          <a:ext cx="685800" cy="276225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30</xdr:row>
      <xdr:rowOff>142875</xdr:rowOff>
    </xdr:from>
    <xdr:to>
      <xdr:col>15</xdr:col>
      <xdr:colOff>295275</xdr:colOff>
      <xdr:row>32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91FA0D5-B061-4877-AD8F-F676A9FD24E1}"/>
            </a:ext>
            <a:ext uri="{147F2762-F138-4A5C-976F-8EAC2B608ADB}">
              <a16:predDERef xmlns:a16="http://schemas.microsoft.com/office/drawing/2014/main" pred="{35BC22EA-642E-4DEA-9BAE-9D6EB163A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5450" y="5857875"/>
          <a:ext cx="685800" cy="23812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11</xdr:row>
      <xdr:rowOff>161925</xdr:rowOff>
    </xdr:from>
    <xdr:to>
      <xdr:col>6</xdr:col>
      <xdr:colOff>485775</xdr:colOff>
      <xdr:row>12</xdr:row>
      <xdr:rowOff>142875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FFF189C-57BF-4047-9723-7AAFBA380EBD}"/>
            </a:ext>
            <a:ext uri="{147F2762-F138-4A5C-976F-8EAC2B608ADB}">
              <a16:predDERef xmlns:a16="http://schemas.microsoft.com/office/drawing/2014/main" pred="{C91FA0D5-B061-4877-AD8F-F676A9FD2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2257425"/>
          <a:ext cx="447675" cy="171450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11</xdr:row>
      <xdr:rowOff>123825</xdr:rowOff>
    </xdr:from>
    <xdr:to>
      <xdr:col>15</xdr:col>
      <xdr:colOff>28575</xdr:colOff>
      <xdr:row>12</xdr:row>
      <xdr:rowOff>142875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E8B630C-5D2B-4222-96C3-C3C6E0303855}"/>
            </a:ext>
            <a:ext uri="{147F2762-F138-4A5C-976F-8EAC2B608ADB}">
              <a16:predDERef xmlns:a16="http://schemas.microsoft.com/office/drawing/2014/main" pred="{5FFF189C-57BF-4047-9723-7AAFBA380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675" y="2219325"/>
          <a:ext cx="523875" cy="209550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190500</xdr:colOff>
      <xdr:row>30</xdr:row>
      <xdr:rowOff>57150</xdr:rowOff>
    </xdr:from>
    <xdr:to>
      <xdr:col>24</xdr:col>
      <xdr:colOff>266700</xdr:colOff>
      <xdr:row>31</xdr:row>
      <xdr:rowOff>142875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40656D8-8934-442E-9737-77A797AC2B6C}"/>
            </a:ext>
            <a:ext uri="{147F2762-F138-4A5C-976F-8EAC2B608ADB}">
              <a16:predDERef xmlns:a16="http://schemas.microsoft.com/office/drawing/2014/main" pred="{4E8B630C-5D2B-4222-96C3-C3C6E0303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3275" y="5772150"/>
          <a:ext cx="685800" cy="276225"/>
        </a:xfrm>
        <a:prstGeom prst="rect">
          <a:avLst/>
        </a:prstGeom>
      </xdr:spPr>
    </xdr:pic>
    <xdr:clientData/>
  </xdr:twoCellAnchor>
  <xdr:twoCellAnchor editAs="oneCell">
    <xdr:from>
      <xdr:col>31</xdr:col>
      <xdr:colOff>180975</xdr:colOff>
      <xdr:row>11</xdr:row>
      <xdr:rowOff>114300</xdr:rowOff>
    </xdr:from>
    <xdr:to>
      <xdr:col>32</xdr:col>
      <xdr:colOff>123825</xdr:colOff>
      <xdr:row>12</xdr:row>
      <xdr:rowOff>142875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D98A443-4433-4BA2-80C9-A4E8C9370C78}"/>
            </a:ext>
            <a:ext uri="{147F2762-F138-4A5C-976F-8EAC2B608ADB}">
              <a16:predDERef xmlns:a16="http://schemas.microsoft.com/office/drawing/2014/main" pred="{940656D8-8934-442E-9737-77A797AC2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40550" y="2209800"/>
          <a:ext cx="552450" cy="219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142875</xdr:rowOff>
    </xdr:from>
    <xdr:to>
      <xdr:col>8</xdr:col>
      <xdr:colOff>600075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DA1EA-57C2-6B79-E416-4603DDC60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</xdr:row>
      <xdr:rowOff>9525</xdr:rowOff>
    </xdr:from>
    <xdr:to>
      <xdr:col>7</xdr:col>
      <xdr:colOff>533400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C6E98-FA8F-A1CA-AEC3-A573CB8E2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180975</xdr:rowOff>
    </xdr:from>
    <xdr:to>
      <xdr:col>7</xdr:col>
      <xdr:colOff>352425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17A3C-1187-32F7-F04C-99D9B19FD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142875</xdr:rowOff>
    </xdr:from>
    <xdr:to>
      <xdr:col>7</xdr:col>
      <xdr:colOff>428625</xdr:colOff>
      <xdr:row>11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C152E-0D2A-2D40-17F2-3E862413F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180975</xdr:rowOff>
    </xdr:from>
    <xdr:to>
      <xdr:col>8</xdr:col>
      <xdr:colOff>152400</xdr:colOff>
      <xdr:row>13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956132-D8D7-F91C-8E4B-BA82CD4F4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</xdr:row>
      <xdr:rowOff>0</xdr:rowOff>
    </xdr:from>
    <xdr:to>
      <xdr:col>7</xdr:col>
      <xdr:colOff>323850</xdr:colOff>
      <xdr:row>12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24242-6547-38C3-B175-58E7B3A1D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p%20produc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products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5.791158680557" createdVersion="8" refreshedVersion="8" minRefreshableVersion="3" recordCount="250" xr:uid="{30A76AF6-F456-48E5-82D9-5720443AB65B}">
  <cacheSource type="worksheet">
    <worksheetSource ref="A1:P251" sheet="The_Ordinary_Sales"/>
  </cacheSource>
  <cacheFields count="16">
    <cacheField name="Order_ID" numFmtId="0">
      <sharedItems/>
    </cacheField>
    <cacheField name="Date" numFmtId="165">
      <sharedItems containsSemiMixedTypes="0" containsNonDate="0" containsDate="1" containsString="0" minDate="2025-01-01T00:00:00" maxDate="2026-01-02T00:00:00"/>
    </cacheField>
    <cacheField name="Month" numFmtId="165">
      <sharedItems count="12">
        <s v="Feb"/>
        <s v="Jul"/>
        <s v="Dec"/>
        <s v="Aug"/>
        <s v="Nov"/>
        <s v="Mar"/>
        <s v="Sep"/>
        <s v="Apr"/>
        <s v="Jun"/>
        <s v="Oct"/>
        <s v="Jan"/>
        <s v="May"/>
      </sharedItems>
    </cacheField>
    <cacheField name="Customer_ID" numFmtId="0">
      <sharedItems/>
    </cacheField>
    <cacheField name="Age" numFmtId="0">
      <sharedItems containsSemiMixedTypes="0" containsString="0" containsNumber="1" containsInteger="1" minValue="18" maxValue="45"/>
    </cacheField>
    <cacheField name="Gender" numFmtId="0">
      <sharedItems/>
    </cacheField>
    <cacheField name="City" numFmtId="0">
      <sharedItems count="8">
        <s v="Mumbai"/>
        <s v="Delhi"/>
        <s v="Bangalore"/>
        <s v="Pune"/>
        <s v="Ahmedabad"/>
        <s v="Kolkata"/>
        <s v="Chennai"/>
        <s v="Hyderabad"/>
      </sharedItems>
    </cacheField>
    <cacheField name="Product" numFmtId="0">
      <sharedItems count="8">
        <s v="AHA 30% + BHA 2% Peel"/>
        <s v="Natural Moisturizing Factors"/>
        <s v="Caffeine Solution 5%"/>
        <s v="Niacinamide 10% + Zinc 1%"/>
        <s v="Glycolic Acid 7% Toner"/>
        <s v="Salicylic Acid 2% Solution"/>
        <s v="Hyaluronic Acid 2% + B5"/>
        <s v="Alpha Arbutin 2%"/>
      </sharedItems>
    </cacheField>
    <cacheField name="Category" numFmtId="0">
      <sharedItems count="5">
        <s v="Peeling"/>
        <s v="Moisturizer"/>
        <s v="Eye Care"/>
        <s v="Serum"/>
        <s v="Toner"/>
      </sharedItems>
    </cacheField>
    <cacheField name="Skin_Type" numFmtId="0">
      <sharedItems count="5">
        <s v="Oily"/>
        <s v="Sensitive"/>
        <s v="Combination"/>
        <s v="Dry"/>
        <s v="Normal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550" maxValue="900"/>
    </cacheField>
    <cacheField name="Revenue" numFmtId="0">
      <sharedItems containsSemiMixedTypes="0" containsString="0" containsNumber="1" minValue="495" maxValue="3600"/>
    </cacheField>
    <cacheField name="Discount_%" numFmtId="0">
      <sharedItems containsSemiMixedTypes="0" containsString="0" containsNumber="1" containsInteger="1" minValue="0" maxValue="20"/>
    </cacheField>
    <cacheField name="Rating" numFmtId="164">
      <sharedItems containsSemiMixedTypes="0" containsString="0" containsNumber="1" containsInteger="1" minValue="3" maxValue="5"/>
    </cacheField>
    <cacheField name="Purchase_Channel" numFmtId="0">
      <sharedItems count="4">
        <s v="Nykaa"/>
        <s v="Website"/>
        <s v="Flipkart"/>
        <s v="Amazon"/>
      </sharedItems>
    </cacheField>
  </cacheFields>
  <extLst>
    <ext xmlns:x14="http://schemas.microsoft.com/office/spreadsheetml/2009/9/main" uri="{725AE2AE-9491-48be-B2B4-4EB974FC3084}">
      <x14:pivotCacheDefinition pivotCacheId="13774725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ORD001"/>
    <d v="2025-02-10T00:00:00"/>
    <x v="0"/>
    <s v="C077"/>
    <n v="37"/>
    <s v="Male"/>
    <x v="0"/>
    <x v="0"/>
    <x v="0"/>
    <x v="0"/>
    <n v="2"/>
    <n v="900"/>
    <n v="1440"/>
    <n v="20"/>
    <n v="4"/>
    <x v="0"/>
  </r>
  <r>
    <s v="ORD002"/>
    <d v="2025-07-17T00:00:00"/>
    <x v="1"/>
    <s v="C113"/>
    <n v="45"/>
    <s v="Female"/>
    <x v="1"/>
    <x v="1"/>
    <x v="1"/>
    <x v="1"/>
    <n v="2"/>
    <n v="850"/>
    <n v="1530"/>
    <n v="10"/>
    <n v="3"/>
    <x v="1"/>
  </r>
  <r>
    <s v="ORD003"/>
    <d v="2025-02-14T00:00:00"/>
    <x v="0"/>
    <s v="C066"/>
    <n v="36"/>
    <s v="Female"/>
    <x v="2"/>
    <x v="2"/>
    <x v="2"/>
    <x v="1"/>
    <n v="3"/>
    <n v="600"/>
    <n v="1620"/>
    <n v="10"/>
    <n v="5"/>
    <x v="0"/>
  </r>
  <r>
    <s v="ORD004"/>
    <d v="2025-12-16T00:00:00"/>
    <x v="2"/>
    <s v="C065"/>
    <n v="20"/>
    <s v="Female"/>
    <x v="3"/>
    <x v="3"/>
    <x v="3"/>
    <x v="1"/>
    <n v="4"/>
    <n v="550"/>
    <n v="1870"/>
    <n v="15"/>
    <n v="3"/>
    <x v="2"/>
  </r>
  <r>
    <s v="ORD005"/>
    <d v="2025-08-23T00:00:00"/>
    <x v="3"/>
    <s v="C042"/>
    <n v="20"/>
    <s v="Female"/>
    <x v="2"/>
    <x v="4"/>
    <x v="4"/>
    <x v="2"/>
    <n v="2"/>
    <n v="750"/>
    <n v="1425"/>
    <n v="5"/>
    <n v="5"/>
    <x v="3"/>
  </r>
  <r>
    <s v="ORD006"/>
    <d v="2025-02-15T00:00:00"/>
    <x v="0"/>
    <s v="C068"/>
    <n v="37"/>
    <s v="Male"/>
    <x v="4"/>
    <x v="5"/>
    <x v="3"/>
    <x v="2"/>
    <n v="3"/>
    <n v="700"/>
    <n v="1785"/>
    <n v="15"/>
    <n v="3"/>
    <x v="3"/>
  </r>
  <r>
    <s v="ORD007"/>
    <d v="2025-11-26T00:00:00"/>
    <x v="4"/>
    <s v="C055"/>
    <n v="38"/>
    <s v="Male"/>
    <x v="0"/>
    <x v="5"/>
    <x v="3"/>
    <x v="1"/>
    <n v="2"/>
    <n v="700"/>
    <n v="1400"/>
    <n v="0"/>
    <n v="5"/>
    <x v="1"/>
  </r>
  <r>
    <s v="ORD008"/>
    <d v="2025-03-16T00:00:00"/>
    <x v="5"/>
    <s v="C060"/>
    <n v="39"/>
    <s v="Female"/>
    <x v="1"/>
    <x v="2"/>
    <x v="2"/>
    <x v="0"/>
    <n v="4"/>
    <n v="600"/>
    <n v="2040"/>
    <n v="15"/>
    <n v="3"/>
    <x v="1"/>
  </r>
  <r>
    <s v="ORD009"/>
    <d v="2025-09-29T00:00:00"/>
    <x v="6"/>
    <s v="C001"/>
    <n v="19"/>
    <s v="Female"/>
    <x v="2"/>
    <x v="6"/>
    <x v="3"/>
    <x v="2"/>
    <n v="1"/>
    <n v="650"/>
    <n v="520"/>
    <n v="20"/>
    <n v="3"/>
    <x v="1"/>
  </r>
  <r>
    <s v="ORD010"/>
    <d v="2025-04-22T00:00:00"/>
    <x v="7"/>
    <s v="C064"/>
    <n v="29"/>
    <s v="Female"/>
    <x v="2"/>
    <x v="4"/>
    <x v="4"/>
    <x v="3"/>
    <n v="2"/>
    <n v="750"/>
    <n v="1500"/>
    <n v="0"/>
    <n v="4"/>
    <x v="2"/>
  </r>
  <r>
    <s v="ORD011"/>
    <d v="2025-03-02T00:00:00"/>
    <x v="5"/>
    <s v="C046"/>
    <n v="37"/>
    <s v="Male"/>
    <x v="5"/>
    <x v="4"/>
    <x v="4"/>
    <x v="1"/>
    <n v="4"/>
    <n v="750"/>
    <n v="2400"/>
    <n v="20"/>
    <n v="3"/>
    <x v="3"/>
  </r>
  <r>
    <s v="ORD012"/>
    <d v="2025-06-20T00:00:00"/>
    <x v="8"/>
    <s v="C120"/>
    <n v="33"/>
    <s v="Male"/>
    <x v="1"/>
    <x v="5"/>
    <x v="3"/>
    <x v="1"/>
    <n v="4"/>
    <n v="700"/>
    <n v="2800"/>
    <n v="0"/>
    <n v="4"/>
    <x v="2"/>
  </r>
  <r>
    <s v="ORD013"/>
    <d v="2025-04-20T00:00:00"/>
    <x v="7"/>
    <s v="C039"/>
    <n v="33"/>
    <s v="Female"/>
    <x v="3"/>
    <x v="7"/>
    <x v="3"/>
    <x v="0"/>
    <n v="4"/>
    <n v="800"/>
    <n v="2560"/>
    <n v="20"/>
    <n v="5"/>
    <x v="3"/>
  </r>
  <r>
    <s v="ORD014"/>
    <d v="2025-07-29T00:00:00"/>
    <x v="1"/>
    <s v="C072"/>
    <n v="35"/>
    <s v="Female"/>
    <x v="2"/>
    <x v="6"/>
    <x v="3"/>
    <x v="3"/>
    <n v="3"/>
    <n v="650"/>
    <n v="1657.5"/>
    <n v="15"/>
    <n v="5"/>
    <x v="0"/>
  </r>
  <r>
    <s v="ORD015"/>
    <d v="2025-10-01T00:00:00"/>
    <x v="9"/>
    <s v="C048"/>
    <n v="35"/>
    <s v="Female"/>
    <x v="5"/>
    <x v="1"/>
    <x v="1"/>
    <x v="3"/>
    <n v="3"/>
    <n v="850"/>
    <n v="2295"/>
    <n v="10"/>
    <n v="4"/>
    <x v="2"/>
  </r>
  <r>
    <s v="ORD016"/>
    <d v="2025-12-02T00:00:00"/>
    <x v="2"/>
    <s v="C014"/>
    <n v="26"/>
    <s v="Female"/>
    <x v="4"/>
    <x v="1"/>
    <x v="1"/>
    <x v="0"/>
    <n v="3"/>
    <n v="850"/>
    <n v="2040"/>
    <n v="20"/>
    <n v="4"/>
    <x v="3"/>
  </r>
  <r>
    <s v="ORD017"/>
    <d v="2025-11-20T00:00:00"/>
    <x v="4"/>
    <s v="C032"/>
    <n v="37"/>
    <s v="Male"/>
    <x v="0"/>
    <x v="3"/>
    <x v="3"/>
    <x v="4"/>
    <n v="2"/>
    <n v="550"/>
    <n v="880"/>
    <n v="20"/>
    <n v="3"/>
    <x v="2"/>
  </r>
  <r>
    <s v="ORD018"/>
    <d v="2025-11-09T00:00:00"/>
    <x v="4"/>
    <s v="C077"/>
    <n v="33"/>
    <s v="Female"/>
    <x v="2"/>
    <x v="1"/>
    <x v="1"/>
    <x v="3"/>
    <n v="3"/>
    <n v="850"/>
    <n v="2422.5"/>
    <n v="5"/>
    <n v="4"/>
    <x v="0"/>
  </r>
  <r>
    <s v="ORD019"/>
    <d v="2025-01-16T00:00:00"/>
    <x v="10"/>
    <s v="C118"/>
    <n v="43"/>
    <s v="Female"/>
    <x v="6"/>
    <x v="1"/>
    <x v="1"/>
    <x v="1"/>
    <n v="1"/>
    <n v="850"/>
    <n v="680"/>
    <n v="20"/>
    <n v="5"/>
    <x v="1"/>
  </r>
  <r>
    <s v="ORD020"/>
    <d v="2025-06-01T00:00:00"/>
    <x v="8"/>
    <s v="C012"/>
    <n v="19"/>
    <s v="Female"/>
    <x v="6"/>
    <x v="4"/>
    <x v="4"/>
    <x v="4"/>
    <n v="4"/>
    <n v="750"/>
    <n v="3000"/>
    <n v="0"/>
    <n v="5"/>
    <x v="2"/>
  </r>
  <r>
    <s v="ORD021"/>
    <d v="2025-01-23T00:00:00"/>
    <x v="10"/>
    <s v="C059"/>
    <n v="26"/>
    <s v="Female"/>
    <x v="1"/>
    <x v="4"/>
    <x v="4"/>
    <x v="2"/>
    <n v="4"/>
    <n v="750"/>
    <n v="2700"/>
    <n v="10"/>
    <n v="3"/>
    <x v="2"/>
  </r>
  <r>
    <s v="ORD022"/>
    <d v="2025-11-10T00:00:00"/>
    <x v="4"/>
    <s v="C035"/>
    <n v="29"/>
    <s v="Female"/>
    <x v="5"/>
    <x v="0"/>
    <x v="0"/>
    <x v="4"/>
    <n v="3"/>
    <n v="900"/>
    <n v="2160"/>
    <n v="20"/>
    <n v="3"/>
    <x v="1"/>
  </r>
  <r>
    <s v="ORD023"/>
    <d v="2025-02-14T00:00:00"/>
    <x v="0"/>
    <s v="C059"/>
    <n v="23"/>
    <s v="Female"/>
    <x v="5"/>
    <x v="6"/>
    <x v="3"/>
    <x v="1"/>
    <n v="2"/>
    <n v="650"/>
    <n v="1105"/>
    <n v="15"/>
    <n v="3"/>
    <x v="2"/>
  </r>
  <r>
    <s v="ORD024"/>
    <d v="2025-04-09T00:00:00"/>
    <x v="7"/>
    <s v="C029"/>
    <n v="34"/>
    <s v="Male"/>
    <x v="6"/>
    <x v="1"/>
    <x v="1"/>
    <x v="3"/>
    <n v="1"/>
    <n v="850"/>
    <n v="850"/>
    <n v="0"/>
    <n v="4"/>
    <x v="1"/>
  </r>
  <r>
    <s v="ORD025"/>
    <d v="2025-09-12T00:00:00"/>
    <x v="6"/>
    <s v="C104"/>
    <n v="22"/>
    <s v="Female"/>
    <x v="1"/>
    <x v="1"/>
    <x v="1"/>
    <x v="1"/>
    <n v="1"/>
    <n v="850"/>
    <n v="680"/>
    <n v="20"/>
    <n v="4"/>
    <x v="2"/>
  </r>
  <r>
    <s v="ORD026"/>
    <d v="2025-09-27T00:00:00"/>
    <x v="6"/>
    <s v="C078"/>
    <n v="26"/>
    <s v="Female"/>
    <x v="5"/>
    <x v="6"/>
    <x v="3"/>
    <x v="3"/>
    <n v="2"/>
    <n v="650"/>
    <n v="1170"/>
    <n v="10"/>
    <n v="3"/>
    <x v="3"/>
  </r>
  <r>
    <s v="ORD027"/>
    <d v="2025-05-12T00:00:00"/>
    <x v="11"/>
    <s v="C112"/>
    <n v="27"/>
    <s v="Male"/>
    <x v="6"/>
    <x v="4"/>
    <x v="4"/>
    <x v="1"/>
    <n v="3"/>
    <n v="750"/>
    <n v="2137.5"/>
    <n v="5"/>
    <n v="4"/>
    <x v="2"/>
  </r>
  <r>
    <s v="ORD028"/>
    <d v="2025-10-17T00:00:00"/>
    <x v="9"/>
    <s v="C032"/>
    <n v="31"/>
    <s v="Male"/>
    <x v="3"/>
    <x v="0"/>
    <x v="0"/>
    <x v="0"/>
    <n v="3"/>
    <n v="900"/>
    <n v="2700"/>
    <n v="0"/>
    <n v="3"/>
    <x v="3"/>
  </r>
  <r>
    <s v="ORD029"/>
    <d v="2025-07-12T00:00:00"/>
    <x v="1"/>
    <s v="C004"/>
    <n v="42"/>
    <s v="Female"/>
    <x v="3"/>
    <x v="4"/>
    <x v="4"/>
    <x v="4"/>
    <n v="1"/>
    <n v="750"/>
    <n v="675"/>
    <n v="10"/>
    <n v="3"/>
    <x v="3"/>
  </r>
  <r>
    <s v="ORD030"/>
    <d v="2025-01-30T00:00:00"/>
    <x v="10"/>
    <s v="C030"/>
    <n v="28"/>
    <s v="Female"/>
    <x v="7"/>
    <x v="7"/>
    <x v="3"/>
    <x v="4"/>
    <n v="2"/>
    <n v="800"/>
    <n v="1280"/>
    <n v="20"/>
    <n v="4"/>
    <x v="3"/>
  </r>
  <r>
    <s v="ORD031"/>
    <d v="2025-06-19T00:00:00"/>
    <x v="8"/>
    <s v="C042"/>
    <n v="41"/>
    <s v="Female"/>
    <x v="2"/>
    <x v="2"/>
    <x v="2"/>
    <x v="3"/>
    <n v="1"/>
    <n v="600"/>
    <n v="540"/>
    <n v="10"/>
    <n v="5"/>
    <x v="3"/>
  </r>
  <r>
    <s v="ORD032"/>
    <d v="2025-06-19T00:00:00"/>
    <x v="8"/>
    <s v="C105"/>
    <n v="33"/>
    <s v="Female"/>
    <x v="5"/>
    <x v="0"/>
    <x v="0"/>
    <x v="4"/>
    <n v="1"/>
    <n v="900"/>
    <n v="810"/>
    <n v="10"/>
    <n v="4"/>
    <x v="0"/>
  </r>
  <r>
    <s v="ORD033"/>
    <d v="2025-05-19T00:00:00"/>
    <x v="11"/>
    <s v="C002"/>
    <n v="25"/>
    <s v="Female"/>
    <x v="5"/>
    <x v="4"/>
    <x v="4"/>
    <x v="1"/>
    <n v="4"/>
    <n v="750"/>
    <n v="2400"/>
    <n v="20"/>
    <n v="5"/>
    <x v="1"/>
  </r>
  <r>
    <s v="ORD034"/>
    <d v="2025-01-04T00:00:00"/>
    <x v="10"/>
    <s v="C003"/>
    <n v="43"/>
    <s v="Male"/>
    <x v="4"/>
    <x v="2"/>
    <x v="2"/>
    <x v="1"/>
    <n v="4"/>
    <n v="600"/>
    <n v="2280"/>
    <n v="5"/>
    <n v="4"/>
    <x v="2"/>
  </r>
  <r>
    <s v="ORD035"/>
    <d v="2025-01-28T00:00:00"/>
    <x v="10"/>
    <s v="C001"/>
    <n v="35"/>
    <s v="Male"/>
    <x v="1"/>
    <x v="3"/>
    <x v="3"/>
    <x v="3"/>
    <n v="2"/>
    <n v="550"/>
    <n v="1045"/>
    <n v="5"/>
    <n v="3"/>
    <x v="3"/>
  </r>
  <r>
    <s v="ORD036"/>
    <d v="2025-03-11T00:00:00"/>
    <x v="5"/>
    <s v="C038"/>
    <n v="21"/>
    <s v="Female"/>
    <x v="3"/>
    <x v="0"/>
    <x v="0"/>
    <x v="2"/>
    <n v="4"/>
    <n v="900"/>
    <n v="2880"/>
    <n v="20"/>
    <n v="4"/>
    <x v="1"/>
  </r>
  <r>
    <s v="ORD037"/>
    <d v="2025-04-18T00:00:00"/>
    <x v="7"/>
    <s v="C002"/>
    <n v="42"/>
    <s v="Female"/>
    <x v="6"/>
    <x v="7"/>
    <x v="3"/>
    <x v="3"/>
    <n v="2"/>
    <n v="800"/>
    <n v="1520"/>
    <n v="5"/>
    <n v="4"/>
    <x v="2"/>
  </r>
  <r>
    <s v="ORD038"/>
    <d v="2025-09-03T00:00:00"/>
    <x v="6"/>
    <s v="C089"/>
    <n v="41"/>
    <s v="Female"/>
    <x v="5"/>
    <x v="6"/>
    <x v="3"/>
    <x v="1"/>
    <n v="3"/>
    <n v="650"/>
    <n v="1560"/>
    <n v="20"/>
    <n v="4"/>
    <x v="3"/>
  </r>
  <r>
    <s v="ORD039"/>
    <d v="2025-09-11T00:00:00"/>
    <x v="6"/>
    <s v="C019"/>
    <n v="27"/>
    <s v="Female"/>
    <x v="2"/>
    <x v="4"/>
    <x v="4"/>
    <x v="3"/>
    <n v="1"/>
    <n v="750"/>
    <n v="675"/>
    <n v="10"/>
    <n v="4"/>
    <x v="2"/>
  </r>
  <r>
    <s v="ORD040"/>
    <d v="2025-12-25T00:00:00"/>
    <x v="2"/>
    <s v="C086"/>
    <n v="22"/>
    <s v="Male"/>
    <x v="3"/>
    <x v="1"/>
    <x v="1"/>
    <x v="0"/>
    <n v="1"/>
    <n v="850"/>
    <n v="722.5"/>
    <n v="15"/>
    <n v="4"/>
    <x v="2"/>
  </r>
  <r>
    <s v="ORD041"/>
    <d v="2025-10-23T00:00:00"/>
    <x v="9"/>
    <s v="C119"/>
    <n v="40"/>
    <s v="Female"/>
    <x v="0"/>
    <x v="5"/>
    <x v="3"/>
    <x v="1"/>
    <n v="2"/>
    <n v="700"/>
    <n v="1260"/>
    <n v="10"/>
    <n v="3"/>
    <x v="1"/>
  </r>
  <r>
    <s v="ORD042"/>
    <d v="2025-04-24T00:00:00"/>
    <x v="7"/>
    <s v="C095"/>
    <n v="19"/>
    <s v="Female"/>
    <x v="4"/>
    <x v="2"/>
    <x v="2"/>
    <x v="2"/>
    <n v="4"/>
    <n v="600"/>
    <n v="2160"/>
    <n v="10"/>
    <n v="4"/>
    <x v="3"/>
  </r>
  <r>
    <s v="ORD043"/>
    <d v="2025-01-29T00:00:00"/>
    <x v="10"/>
    <s v="C033"/>
    <n v="25"/>
    <s v="Female"/>
    <x v="4"/>
    <x v="6"/>
    <x v="3"/>
    <x v="2"/>
    <n v="1"/>
    <n v="650"/>
    <n v="585"/>
    <n v="10"/>
    <n v="5"/>
    <x v="0"/>
  </r>
  <r>
    <s v="ORD044"/>
    <d v="2025-08-13T00:00:00"/>
    <x v="3"/>
    <s v="C025"/>
    <n v="23"/>
    <s v="Female"/>
    <x v="5"/>
    <x v="5"/>
    <x v="3"/>
    <x v="1"/>
    <n v="1"/>
    <n v="700"/>
    <n v="630"/>
    <n v="10"/>
    <n v="4"/>
    <x v="0"/>
  </r>
  <r>
    <s v="ORD045"/>
    <d v="2025-07-08T00:00:00"/>
    <x v="1"/>
    <s v="C021"/>
    <n v="42"/>
    <s v="Male"/>
    <x v="7"/>
    <x v="4"/>
    <x v="4"/>
    <x v="0"/>
    <n v="4"/>
    <n v="750"/>
    <n v="2550"/>
    <n v="15"/>
    <n v="3"/>
    <x v="3"/>
  </r>
  <r>
    <s v="ORD046"/>
    <d v="2025-04-17T00:00:00"/>
    <x v="7"/>
    <s v="C083"/>
    <n v="28"/>
    <s v="Female"/>
    <x v="3"/>
    <x v="1"/>
    <x v="1"/>
    <x v="3"/>
    <n v="1"/>
    <n v="850"/>
    <n v="680"/>
    <n v="20"/>
    <n v="5"/>
    <x v="1"/>
  </r>
  <r>
    <s v="ORD047"/>
    <d v="2025-05-18T00:00:00"/>
    <x v="11"/>
    <s v="C009"/>
    <n v="36"/>
    <s v="Male"/>
    <x v="3"/>
    <x v="2"/>
    <x v="2"/>
    <x v="2"/>
    <n v="4"/>
    <n v="600"/>
    <n v="1920"/>
    <n v="20"/>
    <n v="5"/>
    <x v="0"/>
  </r>
  <r>
    <s v="ORD048"/>
    <d v="2025-11-03T00:00:00"/>
    <x v="4"/>
    <s v="C041"/>
    <n v="34"/>
    <s v="Male"/>
    <x v="1"/>
    <x v="0"/>
    <x v="0"/>
    <x v="0"/>
    <n v="4"/>
    <n v="900"/>
    <n v="3420"/>
    <n v="5"/>
    <n v="5"/>
    <x v="2"/>
  </r>
  <r>
    <s v="ORD049"/>
    <d v="2025-09-03T00:00:00"/>
    <x v="6"/>
    <s v="C015"/>
    <n v="36"/>
    <s v="Male"/>
    <x v="7"/>
    <x v="2"/>
    <x v="2"/>
    <x v="4"/>
    <n v="4"/>
    <n v="600"/>
    <n v="2400"/>
    <n v="0"/>
    <n v="3"/>
    <x v="3"/>
  </r>
  <r>
    <s v="ORD050"/>
    <d v="2025-11-21T00:00:00"/>
    <x v="4"/>
    <s v="C017"/>
    <n v="20"/>
    <s v="Male"/>
    <x v="3"/>
    <x v="5"/>
    <x v="3"/>
    <x v="2"/>
    <n v="3"/>
    <n v="700"/>
    <n v="1995"/>
    <n v="5"/>
    <n v="3"/>
    <x v="0"/>
  </r>
  <r>
    <s v="ORD051"/>
    <d v="2025-03-25T00:00:00"/>
    <x v="5"/>
    <s v="C078"/>
    <n v="36"/>
    <s v="Male"/>
    <x v="1"/>
    <x v="4"/>
    <x v="4"/>
    <x v="4"/>
    <n v="2"/>
    <n v="750"/>
    <n v="1500"/>
    <n v="0"/>
    <n v="5"/>
    <x v="1"/>
  </r>
  <r>
    <s v="ORD052"/>
    <d v="2025-10-08T00:00:00"/>
    <x v="9"/>
    <s v="C078"/>
    <n v="20"/>
    <s v="Female"/>
    <x v="3"/>
    <x v="1"/>
    <x v="1"/>
    <x v="3"/>
    <n v="4"/>
    <n v="850"/>
    <n v="3060"/>
    <n v="10"/>
    <n v="4"/>
    <x v="3"/>
  </r>
  <r>
    <s v="ORD053"/>
    <d v="2025-03-06T00:00:00"/>
    <x v="5"/>
    <s v="C053"/>
    <n v="21"/>
    <s v="Male"/>
    <x v="5"/>
    <x v="2"/>
    <x v="2"/>
    <x v="1"/>
    <n v="3"/>
    <n v="600"/>
    <n v="1440"/>
    <n v="20"/>
    <n v="4"/>
    <x v="3"/>
  </r>
  <r>
    <s v="ORD054"/>
    <d v="2025-04-13T00:00:00"/>
    <x v="7"/>
    <s v="C097"/>
    <n v="34"/>
    <s v="Female"/>
    <x v="0"/>
    <x v="1"/>
    <x v="1"/>
    <x v="0"/>
    <n v="3"/>
    <n v="850"/>
    <n v="2550"/>
    <n v="0"/>
    <n v="3"/>
    <x v="0"/>
  </r>
  <r>
    <s v="ORD055"/>
    <d v="2025-07-30T00:00:00"/>
    <x v="1"/>
    <s v="C003"/>
    <n v="34"/>
    <s v="Male"/>
    <x v="3"/>
    <x v="4"/>
    <x v="4"/>
    <x v="1"/>
    <n v="2"/>
    <n v="750"/>
    <n v="1275"/>
    <n v="15"/>
    <n v="4"/>
    <x v="1"/>
  </r>
  <r>
    <s v="ORD056"/>
    <d v="2025-07-26T00:00:00"/>
    <x v="1"/>
    <s v="C046"/>
    <n v="37"/>
    <s v="Male"/>
    <x v="4"/>
    <x v="7"/>
    <x v="3"/>
    <x v="2"/>
    <n v="3"/>
    <n v="800"/>
    <n v="2400"/>
    <n v="0"/>
    <n v="5"/>
    <x v="0"/>
  </r>
  <r>
    <s v="ORD057"/>
    <d v="2025-01-23T00:00:00"/>
    <x v="10"/>
    <s v="C030"/>
    <n v="25"/>
    <s v="Female"/>
    <x v="2"/>
    <x v="7"/>
    <x v="3"/>
    <x v="0"/>
    <n v="1"/>
    <n v="800"/>
    <n v="800"/>
    <n v="0"/>
    <n v="3"/>
    <x v="1"/>
  </r>
  <r>
    <s v="ORD058"/>
    <d v="2025-07-18T00:00:00"/>
    <x v="1"/>
    <s v="C071"/>
    <n v="34"/>
    <s v="Female"/>
    <x v="7"/>
    <x v="5"/>
    <x v="3"/>
    <x v="2"/>
    <n v="2"/>
    <n v="700"/>
    <n v="1330"/>
    <n v="5"/>
    <n v="5"/>
    <x v="3"/>
  </r>
  <r>
    <s v="ORD059"/>
    <d v="2025-01-11T00:00:00"/>
    <x v="10"/>
    <s v="C096"/>
    <n v="22"/>
    <s v="Female"/>
    <x v="4"/>
    <x v="6"/>
    <x v="3"/>
    <x v="3"/>
    <n v="4"/>
    <n v="650"/>
    <n v="2210"/>
    <n v="15"/>
    <n v="5"/>
    <x v="1"/>
  </r>
  <r>
    <s v="ORD060"/>
    <d v="2025-03-07T00:00:00"/>
    <x v="5"/>
    <s v="C077"/>
    <n v="32"/>
    <s v="Female"/>
    <x v="2"/>
    <x v="4"/>
    <x v="4"/>
    <x v="2"/>
    <n v="4"/>
    <n v="750"/>
    <n v="2550"/>
    <n v="15"/>
    <n v="3"/>
    <x v="0"/>
  </r>
  <r>
    <s v="ORD061"/>
    <d v="2025-07-06T00:00:00"/>
    <x v="1"/>
    <s v="C052"/>
    <n v="36"/>
    <s v="Female"/>
    <x v="7"/>
    <x v="4"/>
    <x v="4"/>
    <x v="3"/>
    <n v="2"/>
    <n v="750"/>
    <n v="1200"/>
    <n v="20"/>
    <n v="4"/>
    <x v="0"/>
  </r>
  <r>
    <s v="ORD062"/>
    <d v="2025-08-29T00:00:00"/>
    <x v="3"/>
    <s v="C088"/>
    <n v="29"/>
    <s v="Male"/>
    <x v="1"/>
    <x v="3"/>
    <x v="3"/>
    <x v="0"/>
    <n v="1"/>
    <n v="550"/>
    <n v="495"/>
    <n v="10"/>
    <n v="4"/>
    <x v="1"/>
  </r>
  <r>
    <s v="ORD063"/>
    <d v="2025-05-03T00:00:00"/>
    <x v="11"/>
    <s v="C059"/>
    <n v="31"/>
    <s v="Male"/>
    <x v="7"/>
    <x v="5"/>
    <x v="3"/>
    <x v="4"/>
    <n v="3"/>
    <n v="700"/>
    <n v="1995"/>
    <n v="5"/>
    <n v="3"/>
    <x v="1"/>
  </r>
  <r>
    <s v="ORD064"/>
    <d v="2025-09-23T00:00:00"/>
    <x v="6"/>
    <s v="C116"/>
    <n v="37"/>
    <s v="Female"/>
    <x v="7"/>
    <x v="0"/>
    <x v="0"/>
    <x v="2"/>
    <n v="4"/>
    <n v="900"/>
    <n v="3420"/>
    <n v="5"/>
    <n v="4"/>
    <x v="2"/>
  </r>
  <r>
    <s v="ORD065"/>
    <d v="2025-04-18T00:00:00"/>
    <x v="7"/>
    <s v="C029"/>
    <n v="36"/>
    <s v="Male"/>
    <x v="0"/>
    <x v="2"/>
    <x v="2"/>
    <x v="4"/>
    <n v="2"/>
    <n v="600"/>
    <n v="1140"/>
    <n v="5"/>
    <n v="3"/>
    <x v="0"/>
  </r>
  <r>
    <s v="ORD066"/>
    <d v="2025-08-27T00:00:00"/>
    <x v="3"/>
    <s v="C025"/>
    <n v="45"/>
    <s v="Male"/>
    <x v="0"/>
    <x v="0"/>
    <x v="0"/>
    <x v="0"/>
    <n v="2"/>
    <n v="900"/>
    <n v="1530"/>
    <n v="15"/>
    <n v="5"/>
    <x v="3"/>
  </r>
  <r>
    <s v="ORD067"/>
    <d v="2025-08-18T00:00:00"/>
    <x v="3"/>
    <s v="C003"/>
    <n v="19"/>
    <s v="Male"/>
    <x v="4"/>
    <x v="0"/>
    <x v="0"/>
    <x v="3"/>
    <n v="4"/>
    <n v="900"/>
    <n v="2880"/>
    <n v="20"/>
    <n v="3"/>
    <x v="0"/>
  </r>
  <r>
    <s v="ORD068"/>
    <d v="2025-09-17T00:00:00"/>
    <x v="6"/>
    <s v="C119"/>
    <n v="36"/>
    <s v="Male"/>
    <x v="4"/>
    <x v="6"/>
    <x v="3"/>
    <x v="4"/>
    <n v="2"/>
    <n v="650"/>
    <n v="1105"/>
    <n v="15"/>
    <n v="5"/>
    <x v="0"/>
  </r>
  <r>
    <s v="ORD069"/>
    <d v="2025-02-16T00:00:00"/>
    <x v="0"/>
    <s v="C110"/>
    <n v="29"/>
    <s v="Female"/>
    <x v="0"/>
    <x v="6"/>
    <x v="3"/>
    <x v="4"/>
    <n v="4"/>
    <n v="650"/>
    <n v="2600"/>
    <n v="0"/>
    <n v="3"/>
    <x v="2"/>
  </r>
  <r>
    <s v="ORD070"/>
    <d v="2025-04-16T00:00:00"/>
    <x v="7"/>
    <s v="C093"/>
    <n v="24"/>
    <s v="Female"/>
    <x v="2"/>
    <x v="5"/>
    <x v="3"/>
    <x v="4"/>
    <n v="1"/>
    <n v="700"/>
    <n v="700"/>
    <n v="0"/>
    <n v="3"/>
    <x v="3"/>
  </r>
  <r>
    <s v="ORD071"/>
    <d v="2025-04-25T00:00:00"/>
    <x v="7"/>
    <s v="C095"/>
    <n v="18"/>
    <s v="Female"/>
    <x v="2"/>
    <x v="1"/>
    <x v="1"/>
    <x v="3"/>
    <n v="4"/>
    <n v="850"/>
    <n v="2720"/>
    <n v="20"/>
    <n v="5"/>
    <x v="1"/>
  </r>
  <r>
    <s v="ORD072"/>
    <d v="2025-03-23T00:00:00"/>
    <x v="5"/>
    <s v="C036"/>
    <n v="33"/>
    <s v="Female"/>
    <x v="0"/>
    <x v="7"/>
    <x v="3"/>
    <x v="4"/>
    <n v="4"/>
    <n v="800"/>
    <n v="2720"/>
    <n v="15"/>
    <n v="5"/>
    <x v="3"/>
  </r>
  <r>
    <s v="ORD073"/>
    <d v="2025-05-09T00:00:00"/>
    <x v="11"/>
    <s v="C034"/>
    <n v="42"/>
    <s v="Male"/>
    <x v="5"/>
    <x v="7"/>
    <x v="3"/>
    <x v="4"/>
    <n v="1"/>
    <n v="800"/>
    <n v="760"/>
    <n v="5"/>
    <n v="5"/>
    <x v="0"/>
  </r>
  <r>
    <s v="ORD074"/>
    <d v="2025-08-03T00:00:00"/>
    <x v="3"/>
    <s v="C109"/>
    <n v="21"/>
    <s v="Female"/>
    <x v="1"/>
    <x v="3"/>
    <x v="3"/>
    <x v="3"/>
    <n v="2"/>
    <n v="550"/>
    <n v="990"/>
    <n v="10"/>
    <n v="5"/>
    <x v="2"/>
  </r>
  <r>
    <s v="ORD075"/>
    <d v="2025-09-04T00:00:00"/>
    <x v="6"/>
    <s v="C058"/>
    <n v="23"/>
    <s v="Male"/>
    <x v="4"/>
    <x v="0"/>
    <x v="0"/>
    <x v="2"/>
    <n v="3"/>
    <n v="900"/>
    <n v="2700"/>
    <n v="0"/>
    <n v="4"/>
    <x v="2"/>
  </r>
  <r>
    <s v="ORD076"/>
    <d v="2025-01-29T00:00:00"/>
    <x v="10"/>
    <s v="C079"/>
    <n v="21"/>
    <s v="Male"/>
    <x v="7"/>
    <x v="5"/>
    <x v="3"/>
    <x v="0"/>
    <n v="4"/>
    <n v="700"/>
    <n v="2800"/>
    <n v="0"/>
    <n v="5"/>
    <x v="2"/>
  </r>
  <r>
    <s v="ORD077"/>
    <d v="2025-06-09T00:00:00"/>
    <x v="8"/>
    <s v="C117"/>
    <n v="39"/>
    <s v="Male"/>
    <x v="5"/>
    <x v="3"/>
    <x v="3"/>
    <x v="4"/>
    <n v="3"/>
    <n v="550"/>
    <n v="1485"/>
    <n v="10"/>
    <n v="4"/>
    <x v="1"/>
  </r>
  <r>
    <s v="ORD078"/>
    <d v="2025-09-30T00:00:00"/>
    <x v="6"/>
    <s v="C030"/>
    <n v="21"/>
    <s v="Female"/>
    <x v="2"/>
    <x v="0"/>
    <x v="0"/>
    <x v="4"/>
    <n v="4"/>
    <n v="900"/>
    <n v="3060"/>
    <n v="15"/>
    <n v="3"/>
    <x v="0"/>
  </r>
  <r>
    <s v="ORD079"/>
    <d v="2025-09-15T00:00:00"/>
    <x v="6"/>
    <s v="C068"/>
    <n v="19"/>
    <s v="Male"/>
    <x v="5"/>
    <x v="4"/>
    <x v="4"/>
    <x v="0"/>
    <n v="3"/>
    <n v="750"/>
    <n v="1800"/>
    <n v="20"/>
    <n v="5"/>
    <x v="3"/>
  </r>
  <r>
    <s v="ORD080"/>
    <d v="2025-07-06T00:00:00"/>
    <x v="1"/>
    <s v="C073"/>
    <n v="26"/>
    <s v="Male"/>
    <x v="3"/>
    <x v="5"/>
    <x v="3"/>
    <x v="2"/>
    <n v="1"/>
    <n v="700"/>
    <n v="700"/>
    <n v="0"/>
    <n v="5"/>
    <x v="2"/>
  </r>
  <r>
    <s v="ORD081"/>
    <d v="2025-04-23T00:00:00"/>
    <x v="7"/>
    <s v="C034"/>
    <n v="37"/>
    <s v="Female"/>
    <x v="1"/>
    <x v="6"/>
    <x v="3"/>
    <x v="4"/>
    <n v="4"/>
    <n v="650"/>
    <n v="2080"/>
    <n v="20"/>
    <n v="3"/>
    <x v="0"/>
  </r>
  <r>
    <s v="ORD082"/>
    <d v="2025-02-18T00:00:00"/>
    <x v="0"/>
    <s v="C112"/>
    <n v="27"/>
    <s v="Female"/>
    <x v="7"/>
    <x v="1"/>
    <x v="1"/>
    <x v="3"/>
    <n v="2"/>
    <n v="850"/>
    <n v="1360"/>
    <n v="20"/>
    <n v="5"/>
    <x v="1"/>
  </r>
  <r>
    <s v="ORD083"/>
    <d v="2025-03-01T00:00:00"/>
    <x v="5"/>
    <s v="C074"/>
    <n v="36"/>
    <s v="Female"/>
    <x v="1"/>
    <x v="7"/>
    <x v="3"/>
    <x v="3"/>
    <n v="1"/>
    <n v="800"/>
    <n v="720"/>
    <n v="10"/>
    <n v="4"/>
    <x v="2"/>
  </r>
  <r>
    <s v="ORD084"/>
    <d v="2025-07-12T00:00:00"/>
    <x v="1"/>
    <s v="C003"/>
    <n v="18"/>
    <s v="Male"/>
    <x v="1"/>
    <x v="6"/>
    <x v="3"/>
    <x v="0"/>
    <n v="2"/>
    <n v="650"/>
    <n v="1235"/>
    <n v="5"/>
    <n v="5"/>
    <x v="3"/>
  </r>
  <r>
    <s v="ORD085"/>
    <d v="2025-01-25T00:00:00"/>
    <x v="10"/>
    <s v="C082"/>
    <n v="26"/>
    <s v="Female"/>
    <x v="3"/>
    <x v="2"/>
    <x v="2"/>
    <x v="1"/>
    <n v="1"/>
    <n v="600"/>
    <n v="600"/>
    <n v="0"/>
    <n v="4"/>
    <x v="2"/>
  </r>
  <r>
    <s v="ORD086"/>
    <d v="2025-11-25T00:00:00"/>
    <x v="4"/>
    <s v="C010"/>
    <n v="29"/>
    <s v="Male"/>
    <x v="5"/>
    <x v="7"/>
    <x v="3"/>
    <x v="0"/>
    <n v="4"/>
    <n v="800"/>
    <n v="2880"/>
    <n v="10"/>
    <n v="5"/>
    <x v="2"/>
  </r>
  <r>
    <s v="ORD087"/>
    <d v="2025-04-06T00:00:00"/>
    <x v="7"/>
    <s v="C114"/>
    <n v="37"/>
    <s v="Male"/>
    <x v="3"/>
    <x v="6"/>
    <x v="3"/>
    <x v="0"/>
    <n v="2"/>
    <n v="650"/>
    <n v="1170"/>
    <n v="10"/>
    <n v="3"/>
    <x v="0"/>
  </r>
  <r>
    <s v="ORD088"/>
    <d v="2025-12-31T00:00:00"/>
    <x v="2"/>
    <s v="C012"/>
    <n v="28"/>
    <s v="Female"/>
    <x v="6"/>
    <x v="2"/>
    <x v="2"/>
    <x v="3"/>
    <n v="2"/>
    <n v="600"/>
    <n v="1080"/>
    <n v="10"/>
    <n v="4"/>
    <x v="0"/>
  </r>
  <r>
    <s v="ORD089"/>
    <d v="2025-09-13T00:00:00"/>
    <x v="6"/>
    <s v="C119"/>
    <n v="24"/>
    <s v="Female"/>
    <x v="6"/>
    <x v="2"/>
    <x v="2"/>
    <x v="2"/>
    <n v="2"/>
    <n v="600"/>
    <n v="1140"/>
    <n v="5"/>
    <n v="5"/>
    <x v="3"/>
  </r>
  <r>
    <s v="ORD090"/>
    <d v="2025-09-10T00:00:00"/>
    <x v="6"/>
    <s v="C074"/>
    <n v="21"/>
    <s v="Male"/>
    <x v="0"/>
    <x v="0"/>
    <x v="0"/>
    <x v="1"/>
    <n v="4"/>
    <n v="900"/>
    <n v="3600"/>
    <n v="0"/>
    <n v="5"/>
    <x v="3"/>
  </r>
  <r>
    <s v="ORD091"/>
    <d v="2025-08-21T00:00:00"/>
    <x v="3"/>
    <s v="C072"/>
    <n v="24"/>
    <s v="Male"/>
    <x v="2"/>
    <x v="5"/>
    <x v="3"/>
    <x v="2"/>
    <n v="2"/>
    <n v="700"/>
    <n v="1330"/>
    <n v="5"/>
    <n v="4"/>
    <x v="0"/>
  </r>
  <r>
    <s v="ORD092"/>
    <d v="2025-04-20T00:00:00"/>
    <x v="7"/>
    <s v="C039"/>
    <n v="40"/>
    <s v="Female"/>
    <x v="5"/>
    <x v="6"/>
    <x v="3"/>
    <x v="1"/>
    <n v="3"/>
    <n v="650"/>
    <n v="1560"/>
    <n v="20"/>
    <n v="5"/>
    <x v="1"/>
  </r>
  <r>
    <s v="ORD093"/>
    <d v="2025-02-15T00:00:00"/>
    <x v="0"/>
    <s v="C063"/>
    <n v="36"/>
    <s v="Female"/>
    <x v="6"/>
    <x v="6"/>
    <x v="3"/>
    <x v="1"/>
    <n v="4"/>
    <n v="650"/>
    <n v="2210"/>
    <n v="15"/>
    <n v="5"/>
    <x v="1"/>
  </r>
  <r>
    <s v="ORD094"/>
    <d v="2025-05-03T00:00:00"/>
    <x v="11"/>
    <s v="C082"/>
    <n v="26"/>
    <s v="Male"/>
    <x v="6"/>
    <x v="7"/>
    <x v="3"/>
    <x v="0"/>
    <n v="1"/>
    <n v="800"/>
    <n v="680"/>
    <n v="15"/>
    <n v="5"/>
    <x v="3"/>
  </r>
  <r>
    <s v="ORD095"/>
    <d v="2025-11-25T00:00:00"/>
    <x v="4"/>
    <s v="C003"/>
    <n v="19"/>
    <s v="Female"/>
    <x v="3"/>
    <x v="2"/>
    <x v="2"/>
    <x v="2"/>
    <n v="4"/>
    <n v="600"/>
    <n v="2280"/>
    <n v="5"/>
    <n v="4"/>
    <x v="3"/>
  </r>
  <r>
    <s v="ORD096"/>
    <d v="2025-04-06T00:00:00"/>
    <x v="7"/>
    <s v="C077"/>
    <n v="26"/>
    <s v="Female"/>
    <x v="2"/>
    <x v="4"/>
    <x v="4"/>
    <x v="1"/>
    <n v="3"/>
    <n v="750"/>
    <n v="1800"/>
    <n v="20"/>
    <n v="3"/>
    <x v="1"/>
  </r>
  <r>
    <s v="ORD097"/>
    <d v="2025-11-26T00:00:00"/>
    <x v="4"/>
    <s v="C017"/>
    <n v="28"/>
    <s v="Female"/>
    <x v="4"/>
    <x v="6"/>
    <x v="3"/>
    <x v="0"/>
    <n v="4"/>
    <n v="650"/>
    <n v="2600"/>
    <n v="0"/>
    <n v="5"/>
    <x v="3"/>
  </r>
  <r>
    <s v="ORD098"/>
    <d v="2025-04-29T00:00:00"/>
    <x v="7"/>
    <s v="C034"/>
    <n v="25"/>
    <s v="Male"/>
    <x v="3"/>
    <x v="2"/>
    <x v="2"/>
    <x v="3"/>
    <n v="3"/>
    <n v="600"/>
    <n v="1440"/>
    <n v="20"/>
    <n v="5"/>
    <x v="1"/>
  </r>
  <r>
    <s v="ORD099"/>
    <d v="2025-12-12T00:00:00"/>
    <x v="2"/>
    <s v="C029"/>
    <n v="23"/>
    <s v="Female"/>
    <x v="2"/>
    <x v="3"/>
    <x v="3"/>
    <x v="0"/>
    <n v="4"/>
    <n v="550"/>
    <n v="2200"/>
    <n v="0"/>
    <n v="3"/>
    <x v="3"/>
  </r>
  <r>
    <s v="ORD100"/>
    <d v="2025-08-14T00:00:00"/>
    <x v="3"/>
    <s v="C006"/>
    <n v="40"/>
    <s v="Female"/>
    <x v="0"/>
    <x v="5"/>
    <x v="3"/>
    <x v="1"/>
    <n v="3"/>
    <n v="700"/>
    <n v="1890"/>
    <n v="10"/>
    <n v="5"/>
    <x v="3"/>
  </r>
  <r>
    <s v="ORD101"/>
    <d v="2025-11-22T00:00:00"/>
    <x v="4"/>
    <s v="C076"/>
    <n v="19"/>
    <s v="Female"/>
    <x v="0"/>
    <x v="7"/>
    <x v="3"/>
    <x v="4"/>
    <n v="4"/>
    <n v="800"/>
    <n v="2720"/>
    <n v="15"/>
    <n v="3"/>
    <x v="0"/>
  </r>
  <r>
    <s v="ORD102"/>
    <d v="2025-02-27T00:00:00"/>
    <x v="0"/>
    <s v="C095"/>
    <n v="35"/>
    <s v="Female"/>
    <x v="4"/>
    <x v="1"/>
    <x v="1"/>
    <x v="2"/>
    <n v="4"/>
    <n v="850"/>
    <n v="2720"/>
    <n v="20"/>
    <n v="5"/>
    <x v="1"/>
  </r>
  <r>
    <s v="ORD103"/>
    <d v="2025-01-22T00:00:00"/>
    <x v="10"/>
    <s v="C034"/>
    <n v="41"/>
    <s v="Male"/>
    <x v="6"/>
    <x v="0"/>
    <x v="0"/>
    <x v="0"/>
    <n v="4"/>
    <n v="900"/>
    <n v="3240"/>
    <n v="10"/>
    <n v="5"/>
    <x v="3"/>
  </r>
  <r>
    <s v="ORD104"/>
    <d v="2025-10-12T00:00:00"/>
    <x v="9"/>
    <s v="C051"/>
    <n v="34"/>
    <s v="Female"/>
    <x v="0"/>
    <x v="5"/>
    <x v="3"/>
    <x v="3"/>
    <n v="4"/>
    <n v="700"/>
    <n v="2660"/>
    <n v="5"/>
    <n v="4"/>
    <x v="0"/>
  </r>
  <r>
    <s v="ORD105"/>
    <d v="2025-08-18T00:00:00"/>
    <x v="3"/>
    <s v="C038"/>
    <n v="28"/>
    <s v="Female"/>
    <x v="2"/>
    <x v="4"/>
    <x v="4"/>
    <x v="3"/>
    <n v="2"/>
    <n v="750"/>
    <n v="1350"/>
    <n v="10"/>
    <n v="4"/>
    <x v="2"/>
  </r>
  <r>
    <s v="ORD106"/>
    <d v="2025-03-06T00:00:00"/>
    <x v="5"/>
    <s v="C084"/>
    <n v="28"/>
    <s v="Male"/>
    <x v="1"/>
    <x v="6"/>
    <x v="3"/>
    <x v="4"/>
    <n v="1"/>
    <n v="650"/>
    <n v="650"/>
    <n v="0"/>
    <n v="3"/>
    <x v="2"/>
  </r>
  <r>
    <s v="ORD107"/>
    <d v="2025-03-12T00:00:00"/>
    <x v="5"/>
    <s v="C041"/>
    <n v="23"/>
    <s v="Male"/>
    <x v="3"/>
    <x v="4"/>
    <x v="4"/>
    <x v="3"/>
    <n v="1"/>
    <n v="750"/>
    <n v="675"/>
    <n v="10"/>
    <n v="3"/>
    <x v="1"/>
  </r>
  <r>
    <s v="ORD108"/>
    <d v="2025-09-24T00:00:00"/>
    <x v="6"/>
    <s v="C120"/>
    <n v="28"/>
    <s v="Male"/>
    <x v="5"/>
    <x v="1"/>
    <x v="1"/>
    <x v="2"/>
    <n v="1"/>
    <n v="850"/>
    <n v="722.5"/>
    <n v="15"/>
    <n v="5"/>
    <x v="1"/>
  </r>
  <r>
    <s v="ORD109"/>
    <d v="2025-07-01T00:00:00"/>
    <x v="1"/>
    <s v="C093"/>
    <n v="23"/>
    <s v="Male"/>
    <x v="6"/>
    <x v="5"/>
    <x v="3"/>
    <x v="2"/>
    <n v="1"/>
    <n v="700"/>
    <n v="595"/>
    <n v="15"/>
    <n v="5"/>
    <x v="2"/>
  </r>
  <r>
    <s v="ORD110"/>
    <d v="2025-07-31T00:00:00"/>
    <x v="1"/>
    <s v="C105"/>
    <n v="41"/>
    <s v="Male"/>
    <x v="1"/>
    <x v="5"/>
    <x v="3"/>
    <x v="1"/>
    <n v="1"/>
    <n v="700"/>
    <n v="665"/>
    <n v="5"/>
    <n v="3"/>
    <x v="1"/>
  </r>
  <r>
    <s v="ORD111"/>
    <d v="2025-10-28T00:00:00"/>
    <x v="9"/>
    <s v="C054"/>
    <n v="40"/>
    <s v="Male"/>
    <x v="0"/>
    <x v="7"/>
    <x v="3"/>
    <x v="1"/>
    <n v="1"/>
    <n v="800"/>
    <n v="680"/>
    <n v="15"/>
    <n v="3"/>
    <x v="3"/>
  </r>
  <r>
    <s v="ORD112"/>
    <d v="2025-11-06T00:00:00"/>
    <x v="4"/>
    <s v="C082"/>
    <n v="18"/>
    <s v="Female"/>
    <x v="4"/>
    <x v="6"/>
    <x v="3"/>
    <x v="3"/>
    <n v="3"/>
    <n v="650"/>
    <n v="1755"/>
    <n v="10"/>
    <n v="4"/>
    <x v="1"/>
  </r>
  <r>
    <s v="ORD113"/>
    <d v="2025-07-31T00:00:00"/>
    <x v="1"/>
    <s v="C039"/>
    <n v="21"/>
    <s v="Female"/>
    <x v="4"/>
    <x v="5"/>
    <x v="3"/>
    <x v="1"/>
    <n v="1"/>
    <n v="700"/>
    <n v="630"/>
    <n v="10"/>
    <n v="5"/>
    <x v="2"/>
  </r>
  <r>
    <s v="ORD114"/>
    <d v="2025-01-01T00:00:00"/>
    <x v="10"/>
    <s v="C070"/>
    <n v="35"/>
    <s v="Female"/>
    <x v="4"/>
    <x v="0"/>
    <x v="0"/>
    <x v="2"/>
    <n v="2"/>
    <n v="900"/>
    <n v="1440"/>
    <n v="20"/>
    <n v="4"/>
    <x v="0"/>
  </r>
  <r>
    <s v="ORD115"/>
    <d v="2025-03-12T00:00:00"/>
    <x v="5"/>
    <s v="C055"/>
    <n v="43"/>
    <s v="Female"/>
    <x v="1"/>
    <x v="2"/>
    <x v="2"/>
    <x v="3"/>
    <n v="3"/>
    <n v="600"/>
    <n v="1620"/>
    <n v="10"/>
    <n v="5"/>
    <x v="3"/>
  </r>
  <r>
    <s v="ORD116"/>
    <d v="2025-12-06T00:00:00"/>
    <x v="2"/>
    <s v="C106"/>
    <n v="29"/>
    <s v="Female"/>
    <x v="7"/>
    <x v="7"/>
    <x v="3"/>
    <x v="3"/>
    <n v="3"/>
    <n v="800"/>
    <n v="2040"/>
    <n v="15"/>
    <n v="3"/>
    <x v="0"/>
  </r>
  <r>
    <s v="ORD117"/>
    <d v="2025-03-29T00:00:00"/>
    <x v="5"/>
    <s v="C018"/>
    <n v="37"/>
    <s v="Female"/>
    <x v="0"/>
    <x v="6"/>
    <x v="3"/>
    <x v="0"/>
    <n v="4"/>
    <n v="650"/>
    <n v="2080"/>
    <n v="20"/>
    <n v="5"/>
    <x v="2"/>
  </r>
  <r>
    <s v="ORD118"/>
    <d v="2025-10-21T00:00:00"/>
    <x v="9"/>
    <s v="C078"/>
    <n v="29"/>
    <s v="Female"/>
    <x v="0"/>
    <x v="2"/>
    <x v="2"/>
    <x v="2"/>
    <n v="2"/>
    <n v="600"/>
    <n v="1020"/>
    <n v="15"/>
    <n v="4"/>
    <x v="1"/>
  </r>
  <r>
    <s v="ORD119"/>
    <d v="2025-06-15T00:00:00"/>
    <x v="8"/>
    <s v="C041"/>
    <n v="20"/>
    <s v="Male"/>
    <x v="2"/>
    <x v="1"/>
    <x v="1"/>
    <x v="0"/>
    <n v="4"/>
    <n v="850"/>
    <n v="2890"/>
    <n v="15"/>
    <n v="3"/>
    <x v="0"/>
  </r>
  <r>
    <s v="ORD120"/>
    <d v="2025-02-01T00:00:00"/>
    <x v="0"/>
    <s v="C022"/>
    <n v="19"/>
    <s v="Female"/>
    <x v="2"/>
    <x v="6"/>
    <x v="3"/>
    <x v="1"/>
    <n v="3"/>
    <n v="650"/>
    <n v="1560"/>
    <n v="20"/>
    <n v="4"/>
    <x v="2"/>
  </r>
  <r>
    <s v="ORD121"/>
    <d v="2025-07-20T00:00:00"/>
    <x v="1"/>
    <s v="C029"/>
    <n v="38"/>
    <s v="Female"/>
    <x v="7"/>
    <x v="2"/>
    <x v="2"/>
    <x v="4"/>
    <n v="2"/>
    <n v="600"/>
    <n v="1020"/>
    <n v="15"/>
    <n v="4"/>
    <x v="3"/>
  </r>
  <r>
    <s v="ORD122"/>
    <d v="2025-04-03T00:00:00"/>
    <x v="7"/>
    <s v="C058"/>
    <n v="25"/>
    <s v="Female"/>
    <x v="3"/>
    <x v="0"/>
    <x v="0"/>
    <x v="2"/>
    <n v="1"/>
    <n v="900"/>
    <n v="765"/>
    <n v="15"/>
    <n v="3"/>
    <x v="2"/>
  </r>
  <r>
    <s v="ORD123"/>
    <d v="2025-07-16T00:00:00"/>
    <x v="1"/>
    <s v="C052"/>
    <n v="32"/>
    <s v="Female"/>
    <x v="5"/>
    <x v="7"/>
    <x v="3"/>
    <x v="2"/>
    <n v="3"/>
    <n v="800"/>
    <n v="2280"/>
    <n v="5"/>
    <n v="4"/>
    <x v="3"/>
  </r>
  <r>
    <s v="ORD124"/>
    <d v="2025-03-21T00:00:00"/>
    <x v="5"/>
    <s v="C051"/>
    <n v="43"/>
    <s v="Male"/>
    <x v="1"/>
    <x v="3"/>
    <x v="3"/>
    <x v="3"/>
    <n v="4"/>
    <n v="550"/>
    <n v="2090"/>
    <n v="5"/>
    <n v="5"/>
    <x v="0"/>
  </r>
  <r>
    <s v="ORD125"/>
    <d v="2025-03-08T00:00:00"/>
    <x v="5"/>
    <s v="C031"/>
    <n v="34"/>
    <s v="Female"/>
    <x v="6"/>
    <x v="7"/>
    <x v="3"/>
    <x v="4"/>
    <n v="1"/>
    <n v="800"/>
    <n v="800"/>
    <n v="0"/>
    <n v="5"/>
    <x v="1"/>
  </r>
  <r>
    <s v="ORD126"/>
    <d v="2025-12-12T00:00:00"/>
    <x v="2"/>
    <s v="C084"/>
    <n v="39"/>
    <s v="Female"/>
    <x v="2"/>
    <x v="0"/>
    <x v="0"/>
    <x v="2"/>
    <n v="3"/>
    <n v="900"/>
    <n v="2430"/>
    <n v="10"/>
    <n v="5"/>
    <x v="2"/>
  </r>
  <r>
    <s v="ORD127"/>
    <d v="2025-12-31T00:00:00"/>
    <x v="2"/>
    <s v="C117"/>
    <n v="36"/>
    <s v="Male"/>
    <x v="1"/>
    <x v="4"/>
    <x v="4"/>
    <x v="1"/>
    <n v="3"/>
    <n v="750"/>
    <n v="2025"/>
    <n v="10"/>
    <n v="4"/>
    <x v="2"/>
  </r>
  <r>
    <s v="ORD128"/>
    <d v="2025-05-08T00:00:00"/>
    <x v="11"/>
    <s v="C108"/>
    <n v="24"/>
    <s v="Male"/>
    <x v="0"/>
    <x v="6"/>
    <x v="3"/>
    <x v="4"/>
    <n v="2"/>
    <n v="650"/>
    <n v="1170"/>
    <n v="10"/>
    <n v="5"/>
    <x v="2"/>
  </r>
  <r>
    <s v="ORD129"/>
    <d v="2025-04-06T00:00:00"/>
    <x v="7"/>
    <s v="C107"/>
    <n v="38"/>
    <s v="Male"/>
    <x v="0"/>
    <x v="3"/>
    <x v="3"/>
    <x v="4"/>
    <n v="3"/>
    <n v="550"/>
    <n v="1650"/>
    <n v="0"/>
    <n v="5"/>
    <x v="0"/>
  </r>
  <r>
    <s v="ORD130"/>
    <d v="2025-05-20T00:00:00"/>
    <x v="11"/>
    <s v="C079"/>
    <n v="36"/>
    <s v="Female"/>
    <x v="0"/>
    <x v="3"/>
    <x v="3"/>
    <x v="3"/>
    <n v="4"/>
    <n v="550"/>
    <n v="1870"/>
    <n v="15"/>
    <n v="5"/>
    <x v="1"/>
  </r>
  <r>
    <s v="ORD131"/>
    <d v="2025-01-31T00:00:00"/>
    <x v="10"/>
    <s v="C044"/>
    <n v="27"/>
    <s v="Female"/>
    <x v="4"/>
    <x v="5"/>
    <x v="3"/>
    <x v="2"/>
    <n v="2"/>
    <n v="700"/>
    <n v="1400"/>
    <n v="0"/>
    <n v="3"/>
    <x v="2"/>
  </r>
  <r>
    <s v="ORD132"/>
    <d v="2025-02-09T00:00:00"/>
    <x v="0"/>
    <s v="C064"/>
    <n v="33"/>
    <s v="Female"/>
    <x v="2"/>
    <x v="3"/>
    <x v="3"/>
    <x v="4"/>
    <n v="4"/>
    <n v="550"/>
    <n v="1870"/>
    <n v="15"/>
    <n v="5"/>
    <x v="1"/>
  </r>
  <r>
    <s v="ORD133"/>
    <d v="2025-09-12T00:00:00"/>
    <x v="6"/>
    <s v="C036"/>
    <n v="32"/>
    <s v="Female"/>
    <x v="4"/>
    <x v="1"/>
    <x v="1"/>
    <x v="2"/>
    <n v="4"/>
    <n v="850"/>
    <n v="2890"/>
    <n v="15"/>
    <n v="3"/>
    <x v="3"/>
  </r>
  <r>
    <s v="ORD134"/>
    <d v="2025-09-02T00:00:00"/>
    <x v="6"/>
    <s v="C056"/>
    <n v="33"/>
    <s v="Male"/>
    <x v="6"/>
    <x v="4"/>
    <x v="4"/>
    <x v="0"/>
    <n v="1"/>
    <n v="750"/>
    <n v="712.5"/>
    <n v="5"/>
    <n v="4"/>
    <x v="3"/>
  </r>
  <r>
    <s v="ORD135"/>
    <d v="2025-02-06T00:00:00"/>
    <x v="0"/>
    <s v="C055"/>
    <n v="23"/>
    <s v="Male"/>
    <x v="1"/>
    <x v="6"/>
    <x v="3"/>
    <x v="0"/>
    <n v="2"/>
    <n v="650"/>
    <n v="1235"/>
    <n v="5"/>
    <n v="4"/>
    <x v="3"/>
  </r>
  <r>
    <s v="ORD136"/>
    <d v="2025-01-24T00:00:00"/>
    <x v="10"/>
    <s v="C077"/>
    <n v="24"/>
    <s v="Male"/>
    <x v="5"/>
    <x v="1"/>
    <x v="1"/>
    <x v="1"/>
    <n v="3"/>
    <n v="850"/>
    <n v="2422.5"/>
    <n v="5"/>
    <n v="3"/>
    <x v="3"/>
  </r>
  <r>
    <s v="ORD137"/>
    <d v="2025-11-18T00:00:00"/>
    <x v="4"/>
    <s v="C075"/>
    <n v="30"/>
    <s v="Male"/>
    <x v="3"/>
    <x v="1"/>
    <x v="1"/>
    <x v="0"/>
    <n v="3"/>
    <n v="850"/>
    <n v="2040"/>
    <n v="20"/>
    <n v="5"/>
    <x v="2"/>
  </r>
  <r>
    <s v="ORD138"/>
    <d v="2025-08-13T00:00:00"/>
    <x v="3"/>
    <s v="C015"/>
    <n v="21"/>
    <s v="Female"/>
    <x v="1"/>
    <x v="1"/>
    <x v="1"/>
    <x v="2"/>
    <n v="1"/>
    <n v="850"/>
    <n v="722.5"/>
    <n v="15"/>
    <n v="4"/>
    <x v="2"/>
  </r>
  <r>
    <s v="ORD139"/>
    <d v="2025-01-23T00:00:00"/>
    <x v="10"/>
    <s v="C098"/>
    <n v="41"/>
    <s v="Male"/>
    <x v="5"/>
    <x v="6"/>
    <x v="3"/>
    <x v="1"/>
    <n v="4"/>
    <n v="650"/>
    <n v="2600"/>
    <n v="0"/>
    <n v="5"/>
    <x v="1"/>
  </r>
  <r>
    <s v="ORD140"/>
    <d v="2025-07-15T00:00:00"/>
    <x v="1"/>
    <s v="C071"/>
    <n v="28"/>
    <s v="Female"/>
    <x v="3"/>
    <x v="3"/>
    <x v="3"/>
    <x v="3"/>
    <n v="2"/>
    <n v="550"/>
    <n v="935"/>
    <n v="15"/>
    <n v="5"/>
    <x v="3"/>
  </r>
  <r>
    <s v="ORD141"/>
    <d v="2025-09-04T00:00:00"/>
    <x v="6"/>
    <s v="C119"/>
    <n v="35"/>
    <s v="Male"/>
    <x v="4"/>
    <x v="5"/>
    <x v="3"/>
    <x v="0"/>
    <n v="1"/>
    <n v="700"/>
    <n v="630"/>
    <n v="10"/>
    <n v="3"/>
    <x v="0"/>
  </r>
  <r>
    <s v="ORD142"/>
    <d v="2025-07-05T00:00:00"/>
    <x v="1"/>
    <s v="C067"/>
    <n v="40"/>
    <s v="Male"/>
    <x v="4"/>
    <x v="1"/>
    <x v="1"/>
    <x v="3"/>
    <n v="2"/>
    <n v="850"/>
    <n v="1700"/>
    <n v="0"/>
    <n v="3"/>
    <x v="1"/>
  </r>
  <r>
    <s v="ORD143"/>
    <d v="2025-03-09T00:00:00"/>
    <x v="5"/>
    <s v="C091"/>
    <n v="36"/>
    <s v="Male"/>
    <x v="0"/>
    <x v="0"/>
    <x v="0"/>
    <x v="1"/>
    <n v="4"/>
    <n v="900"/>
    <n v="3600"/>
    <n v="0"/>
    <n v="5"/>
    <x v="3"/>
  </r>
  <r>
    <s v="ORD144"/>
    <d v="2025-11-28T00:00:00"/>
    <x v="4"/>
    <s v="C001"/>
    <n v="45"/>
    <s v="Male"/>
    <x v="5"/>
    <x v="5"/>
    <x v="3"/>
    <x v="0"/>
    <n v="4"/>
    <n v="700"/>
    <n v="2520"/>
    <n v="10"/>
    <n v="3"/>
    <x v="3"/>
  </r>
  <r>
    <s v="ORD145"/>
    <d v="2025-07-12T00:00:00"/>
    <x v="1"/>
    <s v="C018"/>
    <n v="27"/>
    <s v="Female"/>
    <x v="6"/>
    <x v="1"/>
    <x v="1"/>
    <x v="3"/>
    <n v="4"/>
    <n v="850"/>
    <n v="3230"/>
    <n v="5"/>
    <n v="4"/>
    <x v="0"/>
  </r>
  <r>
    <s v="ORD146"/>
    <d v="2025-07-26T00:00:00"/>
    <x v="1"/>
    <s v="C047"/>
    <n v="20"/>
    <s v="Female"/>
    <x v="0"/>
    <x v="4"/>
    <x v="4"/>
    <x v="4"/>
    <n v="4"/>
    <n v="750"/>
    <n v="3000"/>
    <n v="0"/>
    <n v="3"/>
    <x v="1"/>
  </r>
  <r>
    <s v="ORD147"/>
    <d v="2025-07-18T00:00:00"/>
    <x v="1"/>
    <s v="C092"/>
    <n v="36"/>
    <s v="Male"/>
    <x v="0"/>
    <x v="5"/>
    <x v="3"/>
    <x v="3"/>
    <n v="1"/>
    <n v="700"/>
    <n v="560"/>
    <n v="20"/>
    <n v="4"/>
    <x v="0"/>
  </r>
  <r>
    <s v="ORD148"/>
    <d v="2025-07-30T00:00:00"/>
    <x v="1"/>
    <s v="C055"/>
    <n v="18"/>
    <s v="Female"/>
    <x v="7"/>
    <x v="6"/>
    <x v="3"/>
    <x v="2"/>
    <n v="3"/>
    <n v="650"/>
    <n v="1950"/>
    <n v="0"/>
    <n v="4"/>
    <x v="0"/>
  </r>
  <r>
    <s v="ORD149"/>
    <d v="2025-04-13T00:00:00"/>
    <x v="7"/>
    <s v="C085"/>
    <n v="37"/>
    <s v="Male"/>
    <x v="2"/>
    <x v="4"/>
    <x v="4"/>
    <x v="1"/>
    <n v="2"/>
    <n v="750"/>
    <n v="1350"/>
    <n v="10"/>
    <n v="5"/>
    <x v="3"/>
  </r>
  <r>
    <s v="ORD150"/>
    <d v="2025-09-13T00:00:00"/>
    <x v="6"/>
    <s v="C076"/>
    <n v="30"/>
    <s v="Female"/>
    <x v="6"/>
    <x v="1"/>
    <x v="1"/>
    <x v="1"/>
    <n v="1"/>
    <n v="850"/>
    <n v="850"/>
    <n v="0"/>
    <n v="3"/>
    <x v="2"/>
  </r>
  <r>
    <s v="ORD151"/>
    <d v="2025-02-12T00:00:00"/>
    <x v="0"/>
    <s v="C073"/>
    <n v="20"/>
    <s v="Male"/>
    <x v="6"/>
    <x v="6"/>
    <x v="3"/>
    <x v="2"/>
    <n v="1"/>
    <n v="650"/>
    <n v="520"/>
    <n v="20"/>
    <n v="3"/>
    <x v="2"/>
  </r>
  <r>
    <s v="ORD152"/>
    <d v="2025-07-27T00:00:00"/>
    <x v="1"/>
    <s v="C101"/>
    <n v="45"/>
    <s v="Female"/>
    <x v="5"/>
    <x v="0"/>
    <x v="0"/>
    <x v="0"/>
    <n v="1"/>
    <n v="900"/>
    <n v="720"/>
    <n v="20"/>
    <n v="4"/>
    <x v="2"/>
  </r>
  <r>
    <s v="ORD153"/>
    <d v="2025-02-04T00:00:00"/>
    <x v="0"/>
    <s v="C070"/>
    <n v="20"/>
    <s v="Male"/>
    <x v="0"/>
    <x v="4"/>
    <x v="4"/>
    <x v="1"/>
    <n v="1"/>
    <n v="750"/>
    <n v="600"/>
    <n v="20"/>
    <n v="3"/>
    <x v="2"/>
  </r>
  <r>
    <s v="ORD154"/>
    <d v="2025-09-29T00:00:00"/>
    <x v="6"/>
    <s v="C064"/>
    <n v="33"/>
    <s v="Female"/>
    <x v="3"/>
    <x v="5"/>
    <x v="3"/>
    <x v="3"/>
    <n v="1"/>
    <n v="700"/>
    <n v="560"/>
    <n v="20"/>
    <n v="5"/>
    <x v="3"/>
  </r>
  <r>
    <s v="ORD155"/>
    <d v="2025-09-10T00:00:00"/>
    <x v="6"/>
    <s v="C112"/>
    <n v="43"/>
    <s v="Female"/>
    <x v="0"/>
    <x v="5"/>
    <x v="3"/>
    <x v="0"/>
    <n v="2"/>
    <n v="700"/>
    <n v="1120"/>
    <n v="20"/>
    <n v="4"/>
    <x v="3"/>
  </r>
  <r>
    <s v="ORD156"/>
    <d v="2025-12-20T00:00:00"/>
    <x v="2"/>
    <s v="C003"/>
    <n v="31"/>
    <s v="Female"/>
    <x v="7"/>
    <x v="2"/>
    <x v="2"/>
    <x v="0"/>
    <n v="4"/>
    <n v="600"/>
    <n v="2160"/>
    <n v="10"/>
    <n v="4"/>
    <x v="2"/>
  </r>
  <r>
    <s v="ORD157"/>
    <d v="2025-05-12T00:00:00"/>
    <x v="11"/>
    <s v="C111"/>
    <n v="32"/>
    <s v="Male"/>
    <x v="5"/>
    <x v="3"/>
    <x v="3"/>
    <x v="1"/>
    <n v="2"/>
    <n v="550"/>
    <n v="935"/>
    <n v="15"/>
    <n v="4"/>
    <x v="2"/>
  </r>
  <r>
    <s v="ORD158"/>
    <d v="2025-01-08T00:00:00"/>
    <x v="10"/>
    <s v="C098"/>
    <n v="43"/>
    <s v="Female"/>
    <x v="0"/>
    <x v="0"/>
    <x v="0"/>
    <x v="2"/>
    <n v="4"/>
    <n v="900"/>
    <n v="2880"/>
    <n v="20"/>
    <n v="4"/>
    <x v="0"/>
  </r>
  <r>
    <s v="ORD159"/>
    <d v="2025-01-04T00:00:00"/>
    <x v="10"/>
    <s v="C085"/>
    <n v="33"/>
    <s v="Female"/>
    <x v="1"/>
    <x v="0"/>
    <x v="0"/>
    <x v="3"/>
    <n v="2"/>
    <n v="900"/>
    <n v="1620"/>
    <n v="10"/>
    <n v="5"/>
    <x v="0"/>
  </r>
  <r>
    <s v="ORD160"/>
    <d v="2025-11-18T00:00:00"/>
    <x v="4"/>
    <s v="C113"/>
    <n v="43"/>
    <s v="Female"/>
    <x v="7"/>
    <x v="0"/>
    <x v="0"/>
    <x v="0"/>
    <n v="2"/>
    <n v="900"/>
    <n v="1800"/>
    <n v="0"/>
    <n v="5"/>
    <x v="2"/>
  </r>
  <r>
    <s v="ORD161"/>
    <d v="2025-06-20T00:00:00"/>
    <x v="8"/>
    <s v="C111"/>
    <n v="38"/>
    <s v="Male"/>
    <x v="2"/>
    <x v="5"/>
    <x v="3"/>
    <x v="4"/>
    <n v="4"/>
    <n v="700"/>
    <n v="2380"/>
    <n v="15"/>
    <n v="3"/>
    <x v="3"/>
  </r>
  <r>
    <s v="ORD162"/>
    <d v="2025-10-09T00:00:00"/>
    <x v="9"/>
    <s v="C028"/>
    <n v="37"/>
    <s v="Male"/>
    <x v="3"/>
    <x v="4"/>
    <x v="4"/>
    <x v="3"/>
    <n v="2"/>
    <n v="750"/>
    <n v="1200"/>
    <n v="20"/>
    <n v="4"/>
    <x v="0"/>
  </r>
  <r>
    <s v="ORD163"/>
    <d v="2025-12-18T00:00:00"/>
    <x v="2"/>
    <s v="C091"/>
    <n v="45"/>
    <s v="Female"/>
    <x v="1"/>
    <x v="3"/>
    <x v="3"/>
    <x v="3"/>
    <n v="4"/>
    <n v="550"/>
    <n v="1980"/>
    <n v="10"/>
    <n v="5"/>
    <x v="1"/>
  </r>
  <r>
    <s v="ORD164"/>
    <d v="2025-02-12T00:00:00"/>
    <x v="0"/>
    <s v="C076"/>
    <n v="31"/>
    <s v="Female"/>
    <x v="7"/>
    <x v="2"/>
    <x v="2"/>
    <x v="3"/>
    <n v="1"/>
    <n v="600"/>
    <n v="540"/>
    <n v="10"/>
    <n v="5"/>
    <x v="3"/>
  </r>
  <r>
    <s v="ORD165"/>
    <d v="2025-09-06T00:00:00"/>
    <x v="6"/>
    <s v="C002"/>
    <n v="30"/>
    <s v="Female"/>
    <x v="7"/>
    <x v="5"/>
    <x v="3"/>
    <x v="3"/>
    <n v="3"/>
    <n v="700"/>
    <n v="2100"/>
    <n v="0"/>
    <n v="5"/>
    <x v="3"/>
  </r>
  <r>
    <s v="ORD166"/>
    <d v="2025-07-06T00:00:00"/>
    <x v="1"/>
    <s v="C083"/>
    <n v="31"/>
    <s v="Female"/>
    <x v="4"/>
    <x v="6"/>
    <x v="3"/>
    <x v="1"/>
    <n v="3"/>
    <n v="650"/>
    <n v="1560"/>
    <n v="20"/>
    <n v="3"/>
    <x v="0"/>
  </r>
  <r>
    <s v="ORD167"/>
    <d v="2025-02-17T00:00:00"/>
    <x v="0"/>
    <s v="C051"/>
    <n v="38"/>
    <s v="Male"/>
    <x v="2"/>
    <x v="2"/>
    <x v="2"/>
    <x v="0"/>
    <n v="1"/>
    <n v="600"/>
    <n v="510"/>
    <n v="15"/>
    <n v="5"/>
    <x v="0"/>
  </r>
  <r>
    <s v="ORD168"/>
    <d v="2025-05-19T00:00:00"/>
    <x v="11"/>
    <s v="C107"/>
    <n v="27"/>
    <s v="Female"/>
    <x v="2"/>
    <x v="0"/>
    <x v="0"/>
    <x v="0"/>
    <n v="4"/>
    <n v="900"/>
    <n v="2880"/>
    <n v="20"/>
    <n v="4"/>
    <x v="3"/>
  </r>
  <r>
    <s v="ORD169"/>
    <d v="2025-02-24T00:00:00"/>
    <x v="0"/>
    <s v="C056"/>
    <n v="30"/>
    <s v="Male"/>
    <x v="1"/>
    <x v="4"/>
    <x v="4"/>
    <x v="0"/>
    <n v="4"/>
    <n v="750"/>
    <n v="2400"/>
    <n v="20"/>
    <n v="4"/>
    <x v="1"/>
  </r>
  <r>
    <s v="ORD170"/>
    <d v="2025-06-26T00:00:00"/>
    <x v="8"/>
    <s v="C039"/>
    <n v="33"/>
    <s v="Male"/>
    <x v="6"/>
    <x v="7"/>
    <x v="3"/>
    <x v="0"/>
    <n v="3"/>
    <n v="800"/>
    <n v="1920"/>
    <n v="20"/>
    <n v="3"/>
    <x v="2"/>
  </r>
  <r>
    <s v="ORD171"/>
    <d v="2025-12-25T00:00:00"/>
    <x v="2"/>
    <s v="C068"/>
    <n v="42"/>
    <s v="Female"/>
    <x v="0"/>
    <x v="0"/>
    <x v="0"/>
    <x v="2"/>
    <n v="4"/>
    <n v="900"/>
    <n v="2880"/>
    <n v="20"/>
    <n v="5"/>
    <x v="3"/>
  </r>
  <r>
    <s v="ORD172"/>
    <d v="2025-09-26T00:00:00"/>
    <x v="6"/>
    <s v="C003"/>
    <n v="38"/>
    <s v="Female"/>
    <x v="7"/>
    <x v="0"/>
    <x v="0"/>
    <x v="2"/>
    <n v="1"/>
    <n v="900"/>
    <n v="900"/>
    <n v="0"/>
    <n v="4"/>
    <x v="3"/>
  </r>
  <r>
    <s v="ORD173"/>
    <d v="2026-01-01T00:00:00"/>
    <x v="10"/>
    <s v="C042"/>
    <n v="18"/>
    <s v="Male"/>
    <x v="5"/>
    <x v="4"/>
    <x v="4"/>
    <x v="3"/>
    <n v="2"/>
    <n v="750"/>
    <n v="1500"/>
    <n v="0"/>
    <n v="4"/>
    <x v="2"/>
  </r>
  <r>
    <s v="ORD174"/>
    <d v="2025-07-15T00:00:00"/>
    <x v="1"/>
    <s v="C056"/>
    <n v="25"/>
    <s v="Female"/>
    <x v="2"/>
    <x v="3"/>
    <x v="3"/>
    <x v="0"/>
    <n v="2"/>
    <n v="550"/>
    <n v="880"/>
    <n v="20"/>
    <n v="3"/>
    <x v="3"/>
  </r>
  <r>
    <s v="ORD175"/>
    <d v="2025-07-01T00:00:00"/>
    <x v="1"/>
    <s v="C099"/>
    <n v="23"/>
    <s v="Female"/>
    <x v="5"/>
    <x v="1"/>
    <x v="1"/>
    <x v="1"/>
    <n v="2"/>
    <n v="850"/>
    <n v="1530"/>
    <n v="10"/>
    <n v="4"/>
    <x v="0"/>
  </r>
  <r>
    <s v="ORD176"/>
    <d v="2025-01-11T00:00:00"/>
    <x v="10"/>
    <s v="C021"/>
    <n v="27"/>
    <s v="Female"/>
    <x v="2"/>
    <x v="2"/>
    <x v="2"/>
    <x v="2"/>
    <n v="3"/>
    <n v="600"/>
    <n v="1800"/>
    <n v="0"/>
    <n v="3"/>
    <x v="0"/>
  </r>
  <r>
    <s v="ORD177"/>
    <d v="2025-08-28T00:00:00"/>
    <x v="3"/>
    <s v="C039"/>
    <n v="30"/>
    <s v="Female"/>
    <x v="2"/>
    <x v="0"/>
    <x v="0"/>
    <x v="0"/>
    <n v="4"/>
    <n v="900"/>
    <n v="3240"/>
    <n v="10"/>
    <n v="4"/>
    <x v="2"/>
  </r>
  <r>
    <s v="ORD178"/>
    <d v="2025-10-11T00:00:00"/>
    <x v="9"/>
    <s v="C101"/>
    <n v="38"/>
    <s v="Male"/>
    <x v="1"/>
    <x v="0"/>
    <x v="0"/>
    <x v="4"/>
    <n v="4"/>
    <n v="900"/>
    <n v="3060"/>
    <n v="15"/>
    <n v="3"/>
    <x v="3"/>
  </r>
  <r>
    <s v="ORD179"/>
    <d v="2025-07-04T00:00:00"/>
    <x v="1"/>
    <s v="C090"/>
    <n v="35"/>
    <s v="Male"/>
    <x v="5"/>
    <x v="5"/>
    <x v="3"/>
    <x v="4"/>
    <n v="4"/>
    <n v="700"/>
    <n v="2240"/>
    <n v="20"/>
    <n v="5"/>
    <x v="3"/>
  </r>
  <r>
    <s v="ORD180"/>
    <d v="2025-09-09T00:00:00"/>
    <x v="6"/>
    <s v="C051"/>
    <n v="41"/>
    <s v="Female"/>
    <x v="5"/>
    <x v="1"/>
    <x v="1"/>
    <x v="2"/>
    <n v="4"/>
    <n v="850"/>
    <n v="3400"/>
    <n v="0"/>
    <n v="3"/>
    <x v="1"/>
  </r>
  <r>
    <s v="ORD181"/>
    <d v="2025-10-15T00:00:00"/>
    <x v="9"/>
    <s v="C080"/>
    <n v="35"/>
    <s v="Male"/>
    <x v="7"/>
    <x v="7"/>
    <x v="3"/>
    <x v="4"/>
    <n v="2"/>
    <n v="800"/>
    <n v="1520"/>
    <n v="5"/>
    <n v="4"/>
    <x v="1"/>
  </r>
  <r>
    <s v="ORD182"/>
    <d v="2025-07-27T00:00:00"/>
    <x v="1"/>
    <s v="C084"/>
    <n v="31"/>
    <s v="Male"/>
    <x v="0"/>
    <x v="4"/>
    <x v="4"/>
    <x v="1"/>
    <n v="2"/>
    <n v="750"/>
    <n v="1275"/>
    <n v="15"/>
    <n v="5"/>
    <x v="0"/>
  </r>
  <r>
    <s v="ORD183"/>
    <d v="2025-02-25T00:00:00"/>
    <x v="0"/>
    <s v="C095"/>
    <n v="41"/>
    <s v="Female"/>
    <x v="3"/>
    <x v="7"/>
    <x v="3"/>
    <x v="1"/>
    <n v="1"/>
    <n v="800"/>
    <n v="800"/>
    <n v="0"/>
    <n v="3"/>
    <x v="1"/>
  </r>
  <r>
    <s v="ORD184"/>
    <d v="2025-05-18T00:00:00"/>
    <x v="11"/>
    <s v="C037"/>
    <n v="32"/>
    <s v="Male"/>
    <x v="1"/>
    <x v="2"/>
    <x v="2"/>
    <x v="2"/>
    <n v="4"/>
    <n v="600"/>
    <n v="2280"/>
    <n v="5"/>
    <n v="3"/>
    <x v="2"/>
  </r>
  <r>
    <s v="ORD185"/>
    <d v="2025-08-21T00:00:00"/>
    <x v="3"/>
    <s v="C079"/>
    <n v="40"/>
    <s v="Male"/>
    <x v="4"/>
    <x v="6"/>
    <x v="3"/>
    <x v="2"/>
    <n v="3"/>
    <n v="650"/>
    <n v="1657.5"/>
    <n v="15"/>
    <n v="5"/>
    <x v="1"/>
  </r>
  <r>
    <s v="ORD186"/>
    <d v="2025-04-01T00:00:00"/>
    <x v="7"/>
    <s v="C120"/>
    <n v="35"/>
    <s v="Female"/>
    <x v="2"/>
    <x v="0"/>
    <x v="0"/>
    <x v="4"/>
    <n v="3"/>
    <n v="900"/>
    <n v="2700"/>
    <n v="0"/>
    <n v="3"/>
    <x v="2"/>
  </r>
  <r>
    <s v="ORD187"/>
    <d v="2025-10-29T00:00:00"/>
    <x v="9"/>
    <s v="C085"/>
    <n v="43"/>
    <s v="Male"/>
    <x v="1"/>
    <x v="5"/>
    <x v="3"/>
    <x v="2"/>
    <n v="3"/>
    <n v="700"/>
    <n v="2100"/>
    <n v="0"/>
    <n v="5"/>
    <x v="0"/>
  </r>
  <r>
    <s v="ORD188"/>
    <d v="2025-03-27T00:00:00"/>
    <x v="5"/>
    <s v="C064"/>
    <n v="35"/>
    <s v="Female"/>
    <x v="5"/>
    <x v="2"/>
    <x v="2"/>
    <x v="2"/>
    <n v="2"/>
    <n v="600"/>
    <n v="1200"/>
    <n v="0"/>
    <n v="3"/>
    <x v="2"/>
  </r>
  <r>
    <s v="ORD189"/>
    <d v="2025-12-13T00:00:00"/>
    <x v="2"/>
    <s v="C032"/>
    <n v="36"/>
    <s v="Male"/>
    <x v="0"/>
    <x v="0"/>
    <x v="0"/>
    <x v="4"/>
    <n v="1"/>
    <n v="900"/>
    <n v="765"/>
    <n v="15"/>
    <n v="4"/>
    <x v="1"/>
  </r>
  <r>
    <s v="ORD190"/>
    <d v="2025-05-29T00:00:00"/>
    <x v="11"/>
    <s v="C012"/>
    <n v="28"/>
    <s v="Male"/>
    <x v="2"/>
    <x v="4"/>
    <x v="4"/>
    <x v="3"/>
    <n v="2"/>
    <n v="750"/>
    <n v="1500"/>
    <n v="0"/>
    <n v="5"/>
    <x v="3"/>
  </r>
  <r>
    <s v="ORD191"/>
    <d v="2025-02-05T00:00:00"/>
    <x v="0"/>
    <s v="C065"/>
    <n v="26"/>
    <s v="Male"/>
    <x v="4"/>
    <x v="2"/>
    <x v="2"/>
    <x v="3"/>
    <n v="2"/>
    <n v="600"/>
    <n v="1080"/>
    <n v="10"/>
    <n v="3"/>
    <x v="3"/>
  </r>
  <r>
    <s v="ORD192"/>
    <d v="2025-04-22T00:00:00"/>
    <x v="7"/>
    <s v="C103"/>
    <n v="18"/>
    <s v="Female"/>
    <x v="0"/>
    <x v="4"/>
    <x v="4"/>
    <x v="1"/>
    <n v="4"/>
    <n v="750"/>
    <n v="3000"/>
    <n v="0"/>
    <n v="3"/>
    <x v="1"/>
  </r>
  <r>
    <s v="ORD193"/>
    <d v="2025-06-16T00:00:00"/>
    <x v="8"/>
    <s v="C007"/>
    <n v="25"/>
    <s v="Female"/>
    <x v="3"/>
    <x v="5"/>
    <x v="3"/>
    <x v="0"/>
    <n v="2"/>
    <n v="700"/>
    <n v="1190"/>
    <n v="15"/>
    <n v="4"/>
    <x v="2"/>
  </r>
  <r>
    <s v="ORD194"/>
    <d v="2025-01-02T00:00:00"/>
    <x v="10"/>
    <s v="C115"/>
    <n v="29"/>
    <s v="Male"/>
    <x v="3"/>
    <x v="2"/>
    <x v="2"/>
    <x v="1"/>
    <n v="2"/>
    <n v="600"/>
    <n v="960"/>
    <n v="20"/>
    <n v="3"/>
    <x v="1"/>
  </r>
  <r>
    <s v="ORD195"/>
    <d v="2025-01-12T00:00:00"/>
    <x v="10"/>
    <s v="C034"/>
    <n v="45"/>
    <s v="Female"/>
    <x v="5"/>
    <x v="1"/>
    <x v="1"/>
    <x v="2"/>
    <n v="1"/>
    <n v="850"/>
    <n v="765"/>
    <n v="10"/>
    <n v="4"/>
    <x v="3"/>
  </r>
  <r>
    <s v="ORD196"/>
    <d v="2025-06-17T00:00:00"/>
    <x v="8"/>
    <s v="C052"/>
    <n v="33"/>
    <s v="Male"/>
    <x v="7"/>
    <x v="2"/>
    <x v="2"/>
    <x v="0"/>
    <n v="3"/>
    <n v="600"/>
    <n v="1710"/>
    <n v="5"/>
    <n v="5"/>
    <x v="3"/>
  </r>
  <r>
    <s v="ORD197"/>
    <d v="2025-08-03T00:00:00"/>
    <x v="3"/>
    <s v="C092"/>
    <n v="33"/>
    <s v="Male"/>
    <x v="5"/>
    <x v="4"/>
    <x v="4"/>
    <x v="3"/>
    <n v="1"/>
    <n v="750"/>
    <n v="600"/>
    <n v="20"/>
    <n v="4"/>
    <x v="3"/>
  </r>
  <r>
    <s v="ORD198"/>
    <d v="2025-12-04T00:00:00"/>
    <x v="2"/>
    <s v="C045"/>
    <n v="45"/>
    <s v="Male"/>
    <x v="3"/>
    <x v="1"/>
    <x v="1"/>
    <x v="4"/>
    <n v="1"/>
    <n v="850"/>
    <n v="850"/>
    <n v="0"/>
    <n v="4"/>
    <x v="2"/>
  </r>
  <r>
    <s v="ORD199"/>
    <d v="2025-07-06T00:00:00"/>
    <x v="1"/>
    <s v="C056"/>
    <n v="35"/>
    <s v="Female"/>
    <x v="2"/>
    <x v="0"/>
    <x v="0"/>
    <x v="0"/>
    <n v="4"/>
    <n v="900"/>
    <n v="3420"/>
    <n v="5"/>
    <n v="4"/>
    <x v="0"/>
  </r>
  <r>
    <s v="ORD200"/>
    <d v="2025-03-27T00:00:00"/>
    <x v="5"/>
    <s v="C062"/>
    <n v="31"/>
    <s v="Male"/>
    <x v="0"/>
    <x v="1"/>
    <x v="1"/>
    <x v="1"/>
    <n v="4"/>
    <n v="850"/>
    <n v="2890"/>
    <n v="15"/>
    <n v="4"/>
    <x v="2"/>
  </r>
  <r>
    <s v="ORD201"/>
    <d v="2025-01-08T00:00:00"/>
    <x v="10"/>
    <s v="C062"/>
    <n v="34"/>
    <s v="Female"/>
    <x v="0"/>
    <x v="6"/>
    <x v="3"/>
    <x v="0"/>
    <n v="4"/>
    <n v="650"/>
    <n v="2340"/>
    <n v="10"/>
    <n v="4"/>
    <x v="3"/>
  </r>
  <r>
    <s v="ORD202"/>
    <d v="2025-12-18T00:00:00"/>
    <x v="2"/>
    <s v="C102"/>
    <n v="42"/>
    <s v="Male"/>
    <x v="7"/>
    <x v="2"/>
    <x v="2"/>
    <x v="2"/>
    <n v="2"/>
    <n v="600"/>
    <n v="960"/>
    <n v="20"/>
    <n v="3"/>
    <x v="1"/>
  </r>
  <r>
    <s v="ORD203"/>
    <d v="2025-08-05T00:00:00"/>
    <x v="3"/>
    <s v="C039"/>
    <n v="21"/>
    <s v="Female"/>
    <x v="0"/>
    <x v="1"/>
    <x v="1"/>
    <x v="1"/>
    <n v="3"/>
    <n v="850"/>
    <n v="2422.5"/>
    <n v="5"/>
    <n v="5"/>
    <x v="1"/>
  </r>
  <r>
    <s v="ORD204"/>
    <d v="2025-06-07T00:00:00"/>
    <x v="8"/>
    <s v="C084"/>
    <n v="44"/>
    <s v="Female"/>
    <x v="4"/>
    <x v="7"/>
    <x v="3"/>
    <x v="2"/>
    <n v="2"/>
    <n v="800"/>
    <n v="1280"/>
    <n v="20"/>
    <n v="4"/>
    <x v="2"/>
  </r>
  <r>
    <s v="ORD205"/>
    <d v="2025-03-21T00:00:00"/>
    <x v="5"/>
    <s v="C065"/>
    <n v="41"/>
    <s v="Male"/>
    <x v="3"/>
    <x v="6"/>
    <x v="3"/>
    <x v="3"/>
    <n v="2"/>
    <n v="650"/>
    <n v="1040"/>
    <n v="20"/>
    <n v="3"/>
    <x v="1"/>
  </r>
  <r>
    <s v="ORD206"/>
    <d v="2025-03-01T00:00:00"/>
    <x v="5"/>
    <s v="C020"/>
    <n v="45"/>
    <s v="Male"/>
    <x v="5"/>
    <x v="1"/>
    <x v="1"/>
    <x v="0"/>
    <n v="1"/>
    <n v="850"/>
    <n v="807.5"/>
    <n v="5"/>
    <n v="3"/>
    <x v="1"/>
  </r>
  <r>
    <s v="ORD207"/>
    <d v="2025-10-30T00:00:00"/>
    <x v="9"/>
    <s v="C039"/>
    <n v="18"/>
    <s v="Male"/>
    <x v="4"/>
    <x v="6"/>
    <x v="3"/>
    <x v="4"/>
    <n v="1"/>
    <n v="650"/>
    <n v="552.5"/>
    <n v="15"/>
    <n v="5"/>
    <x v="2"/>
  </r>
  <r>
    <s v="ORD208"/>
    <d v="2025-07-14T00:00:00"/>
    <x v="1"/>
    <s v="C046"/>
    <n v="34"/>
    <s v="Female"/>
    <x v="7"/>
    <x v="6"/>
    <x v="3"/>
    <x v="4"/>
    <n v="4"/>
    <n v="650"/>
    <n v="2470"/>
    <n v="5"/>
    <n v="4"/>
    <x v="0"/>
  </r>
  <r>
    <s v="ORD209"/>
    <d v="2025-05-06T00:00:00"/>
    <x v="11"/>
    <s v="C119"/>
    <n v="37"/>
    <s v="Female"/>
    <x v="4"/>
    <x v="2"/>
    <x v="2"/>
    <x v="2"/>
    <n v="4"/>
    <n v="600"/>
    <n v="1920"/>
    <n v="20"/>
    <n v="5"/>
    <x v="3"/>
  </r>
  <r>
    <s v="ORD210"/>
    <d v="2025-08-31T00:00:00"/>
    <x v="3"/>
    <s v="C046"/>
    <n v="29"/>
    <s v="Female"/>
    <x v="5"/>
    <x v="1"/>
    <x v="1"/>
    <x v="2"/>
    <n v="4"/>
    <n v="850"/>
    <n v="3400"/>
    <n v="0"/>
    <n v="3"/>
    <x v="3"/>
  </r>
  <r>
    <s v="ORD211"/>
    <d v="2025-12-02T00:00:00"/>
    <x v="2"/>
    <s v="C056"/>
    <n v="43"/>
    <s v="Female"/>
    <x v="6"/>
    <x v="5"/>
    <x v="3"/>
    <x v="2"/>
    <n v="4"/>
    <n v="700"/>
    <n v="2660"/>
    <n v="5"/>
    <n v="3"/>
    <x v="2"/>
  </r>
  <r>
    <s v="ORD212"/>
    <d v="2025-09-10T00:00:00"/>
    <x v="6"/>
    <s v="C116"/>
    <n v="40"/>
    <s v="Female"/>
    <x v="3"/>
    <x v="6"/>
    <x v="3"/>
    <x v="0"/>
    <n v="3"/>
    <n v="650"/>
    <n v="1950"/>
    <n v="0"/>
    <n v="4"/>
    <x v="3"/>
  </r>
  <r>
    <s v="ORD213"/>
    <d v="2025-06-07T00:00:00"/>
    <x v="8"/>
    <s v="C036"/>
    <n v="39"/>
    <s v="Male"/>
    <x v="0"/>
    <x v="3"/>
    <x v="3"/>
    <x v="0"/>
    <n v="4"/>
    <n v="550"/>
    <n v="1760"/>
    <n v="20"/>
    <n v="5"/>
    <x v="2"/>
  </r>
  <r>
    <s v="ORD214"/>
    <d v="2025-06-10T00:00:00"/>
    <x v="8"/>
    <s v="C098"/>
    <n v="37"/>
    <s v="Female"/>
    <x v="3"/>
    <x v="2"/>
    <x v="2"/>
    <x v="0"/>
    <n v="3"/>
    <n v="600"/>
    <n v="1620"/>
    <n v="10"/>
    <n v="4"/>
    <x v="1"/>
  </r>
  <r>
    <s v="ORD215"/>
    <d v="2025-11-21T00:00:00"/>
    <x v="4"/>
    <s v="C097"/>
    <n v="22"/>
    <s v="Male"/>
    <x v="1"/>
    <x v="3"/>
    <x v="3"/>
    <x v="2"/>
    <n v="4"/>
    <n v="550"/>
    <n v="2200"/>
    <n v="0"/>
    <n v="3"/>
    <x v="0"/>
  </r>
  <r>
    <s v="ORD216"/>
    <d v="2025-12-06T00:00:00"/>
    <x v="2"/>
    <s v="C114"/>
    <n v="35"/>
    <s v="Female"/>
    <x v="0"/>
    <x v="2"/>
    <x v="2"/>
    <x v="2"/>
    <n v="2"/>
    <n v="600"/>
    <n v="960"/>
    <n v="20"/>
    <n v="5"/>
    <x v="1"/>
  </r>
  <r>
    <s v="ORD217"/>
    <d v="2025-06-03T00:00:00"/>
    <x v="8"/>
    <s v="C100"/>
    <n v="43"/>
    <s v="Male"/>
    <x v="3"/>
    <x v="5"/>
    <x v="3"/>
    <x v="3"/>
    <n v="1"/>
    <n v="700"/>
    <n v="665"/>
    <n v="5"/>
    <n v="5"/>
    <x v="3"/>
  </r>
  <r>
    <s v="ORD218"/>
    <d v="2025-12-13T00:00:00"/>
    <x v="2"/>
    <s v="C063"/>
    <n v="33"/>
    <s v="Male"/>
    <x v="1"/>
    <x v="6"/>
    <x v="3"/>
    <x v="1"/>
    <n v="1"/>
    <n v="650"/>
    <n v="617.5"/>
    <n v="5"/>
    <n v="3"/>
    <x v="1"/>
  </r>
  <r>
    <s v="ORD219"/>
    <d v="2025-05-02T00:00:00"/>
    <x v="11"/>
    <s v="C019"/>
    <n v="34"/>
    <s v="Female"/>
    <x v="6"/>
    <x v="1"/>
    <x v="1"/>
    <x v="1"/>
    <n v="2"/>
    <n v="850"/>
    <n v="1615"/>
    <n v="5"/>
    <n v="4"/>
    <x v="0"/>
  </r>
  <r>
    <s v="ORD220"/>
    <d v="2025-08-27T00:00:00"/>
    <x v="3"/>
    <s v="C074"/>
    <n v="37"/>
    <s v="Male"/>
    <x v="6"/>
    <x v="0"/>
    <x v="0"/>
    <x v="1"/>
    <n v="2"/>
    <n v="900"/>
    <n v="1530"/>
    <n v="15"/>
    <n v="4"/>
    <x v="1"/>
  </r>
  <r>
    <s v="ORD221"/>
    <d v="2025-01-10T00:00:00"/>
    <x v="10"/>
    <s v="C095"/>
    <n v="29"/>
    <s v="Female"/>
    <x v="5"/>
    <x v="5"/>
    <x v="3"/>
    <x v="1"/>
    <n v="2"/>
    <n v="700"/>
    <n v="1330"/>
    <n v="5"/>
    <n v="4"/>
    <x v="3"/>
  </r>
  <r>
    <s v="ORD222"/>
    <d v="2025-11-28T00:00:00"/>
    <x v="4"/>
    <s v="C091"/>
    <n v="25"/>
    <s v="Female"/>
    <x v="0"/>
    <x v="0"/>
    <x v="0"/>
    <x v="3"/>
    <n v="4"/>
    <n v="900"/>
    <n v="3240"/>
    <n v="10"/>
    <n v="5"/>
    <x v="0"/>
  </r>
  <r>
    <s v="ORD223"/>
    <d v="2025-07-10T00:00:00"/>
    <x v="1"/>
    <s v="C065"/>
    <n v="34"/>
    <s v="Female"/>
    <x v="6"/>
    <x v="2"/>
    <x v="2"/>
    <x v="1"/>
    <n v="2"/>
    <n v="600"/>
    <n v="960"/>
    <n v="20"/>
    <n v="4"/>
    <x v="2"/>
  </r>
  <r>
    <s v="ORD224"/>
    <d v="2025-05-16T00:00:00"/>
    <x v="11"/>
    <s v="C084"/>
    <n v="34"/>
    <s v="Male"/>
    <x v="0"/>
    <x v="3"/>
    <x v="3"/>
    <x v="1"/>
    <n v="1"/>
    <n v="550"/>
    <n v="550"/>
    <n v="0"/>
    <n v="5"/>
    <x v="2"/>
  </r>
  <r>
    <s v="ORD225"/>
    <d v="2025-10-29T00:00:00"/>
    <x v="9"/>
    <s v="C096"/>
    <n v="27"/>
    <s v="Male"/>
    <x v="1"/>
    <x v="7"/>
    <x v="3"/>
    <x v="1"/>
    <n v="2"/>
    <n v="800"/>
    <n v="1520"/>
    <n v="5"/>
    <n v="3"/>
    <x v="0"/>
  </r>
  <r>
    <s v="ORD226"/>
    <d v="2025-04-12T00:00:00"/>
    <x v="7"/>
    <s v="C030"/>
    <n v="31"/>
    <s v="Female"/>
    <x v="0"/>
    <x v="6"/>
    <x v="3"/>
    <x v="2"/>
    <n v="4"/>
    <n v="650"/>
    <n v="2470"/>
    <n v="5"/>
    <n v="4"/>
    <x v="2"/>
  </r>
  <r>
    <s v="ORD227"/>
    <d v="2025-02-17T00:00:00"/>
    <x v="0"/>
    <s v="C079"/>
    <n v="44"/>
    <s v="Male"/>
    <x v="5"/>
    <x v="1"/>
    <x v="1"/>
    <x v="1"/>
    <n v="1"/>
    <n v="850"/>
    <n v="807.5"/>
    <n v="5"/>
    <n v="4"/>
    <x v="0"/>
  </r>
  <r>
    <s v="ORD228"/>
    <d v="2025-04-06T00:00:00"/>
    <x v="7"/>
    <s v="C058"/>
    <n v="22"/>
    <s v="Female"/>
    <x v="1"/>
    <x v="0"/>
    <x v="0"/>
    <x v="2"/>
    <n v="1"/>
    <n v="900"/>
    <n v="900"/>
    <n v="0"/>
    <n v="5"/>
    <x v="2"/>
  </r>
  <r>
    <s v="ORD229"/>
    <d v="2025-02-07T00:00:00"/>
    <x v="0"/>
    <s v="C089"/>
    <n v="32"/>
    <s v="Male"/>
    <x v="5"/>
    <x v="5"/>
    <x v="3"/>
    <x v="1"/>
    <n v="4"/>
    <n v="700"/>
    <n v="2800"/>
    <n v="0"/>
    <n v="4"/>
    <x v="3"/>
  </r>
  <r>
    <s v="ORD230"/>
    <d v="2025-01-17T00:00:00"/>
    <x v="10"/>
    <s v="C025"/>
    <n v="29"/>
    <s v="Male"/>
    <x v="2"/>
    <x v="1"/>
    <x v="1"/>
    <x v="3"/>
    <n v="3"/>
    <n v="850"/>
    <n v="2040"/>
    <n v="20"/>
    <n v="5"/>
    <x v="0"/>
  </r>
  <r>
    <s v="ORD231"/>
    <d v="2025-02-21T00:00:00"/>
    <x v="0"/>
    <s v="C042"/>
    <n v="27"/>
    <s v="Female"/>
    <x v="6"/>
    <x v="7"/>
    <x v="3"/>
    <x v="1"/>
    <n v="3"/>
    <n v="800"/>
    <n v="2400"/>
    <n v="0"/>
    <n v="4"/>
    <x v="3"/>
  </r>
  <r>
    <s v="ORD232"/>
    <d v="2025-09-06T00:00:00"/>
    <x v="6"/>
    <s v="C084"/>
    <n v="34"/>
    <s v="Male"/>
    <x v="1"/>
    <x v="5"/>
    <x v="3"/>
    <x v="1"/>
    <n v="4"/>
    <n v="700"/>
    <n v="2660"/>
    <n v="5"/>
    <n v="3"/>
    <x v="1"/>
  </r>
  <r>
    <s v="ORD233"/>
    <d v="2025-10-09T00:00:00"/>
    <x v="9"/>
    <s v="C082"/>
    <n v="37"/>
    <s v="Female"/>
    <x v="7"/>
    <x v="2"/>
    <x v="2"/>
    <x v="2"/>
    <n v="4"/>
    <n v="600"/>
    <n v="1920"/>
    <n v="20"/>
    <n v="5"/>
    <x v="1"/>
  </r>
  <r>
    <s v="ORD234"/>
    <d v="2025-08-07T00:00:00"/>
    <x v="3"/>
    <s v="C113"/>
    <n v="40"/>
    <s v="Male"/>
    <x v="7"/>
    <x v="1"/>
    <x v="1"/>
    <x v="4"/>
    <n v="3"/>
    <n v="850"/>
    <n v="2040"/>
    <n v="20"/>
    <n v="4"/>
    <x v="2"/>
  </r>
  <r>
    <s v="ORD235"/>
    <d v="2025-04-24T00:00:00"/>
    <x v="7"/>
    <s v="C066"/>
    <n v="18"/>
    <s v="Female"/>
    <x v="2"/>
    <x v="3"/>
    <x v="3"/>
    <x v="3"/>
    <n v="3"/>
    <n v="550"/>
    <n v="1402.5"/>
    <n v="15"/>
    <n v="3"/>
    <x v="0"/>
  </r>
  <r>
    <s v="ORD236"/>
    <d v="2025-11-17T00:00:00"/>
    <x v="4"/>
    <s v="C047"/>
    <n v="19"/>
    <s v="Male"/>
    <x v="7"/>
    <x v="7"/>
    <x v="3"/>
    <x v="4"/>
    <n v="1"/>
    <n v="800"/>
    <n v="640"/>
    <n v="20"/>
    <n v="5"/>
    <x v="2"/>
  </r>
  <r>
    <s v="ORD237"/>
    <d v="2025-03-11T00:00:00"/>
    <x v="5"/>
    <s v="C109"/>
    <n v="41"/>
    <s v="Female"/>
    <x v="5"/>
    <x v="6"/>
    <x v="3"/>
    <x v="1"/>
    <n v="1"/>
    <n v="650"/>
    <n v="585"/>
    <n v="10"/>
    <n v="4"/>
    <x v="1"/>
  </r>
  <r>
    <s v="ORD238"/>
    <d v="2025-01-16T00:00:00"/>
    <x v="10"/>
    <s v="C031"/>
    <n v="23"/>
    <s v="Male"/>
    <x v="6"/>
    <x v="4"/>
    <x v="4"/>
    <x v="2"/>
    <n v="1"/>
    <n v="750"/>
    <n v="712.5"/>
    <n v="5"/>
    <n v="3"/>
    <x v="2"/>
  </r>
  <r>
    <s v="ORD239"/>
    <d v="2025-06-30T00:00:00"/>
    <x v="8"/>
    <s v="C107"/>
    <n v="35"/>
    <s v="Male"/>
    <x v="4"/>
    <x v="7"/>
    <x v="3"/>
    <x v="4"/>
    <n v="3"/>
    <n v="800"/>
    <n v="2040"/>
    <n v="15"/>
    <n v="3"/>
    <x v="0"/>
  </r>
  <r>
    <s v="ORD240"/>
    <d v="2025-12-04T00:00:00"/>
    <x v="2"/>
    <s v="C009"/>
    <n v="29"/>
    <s v="Male"/>
    <x v="2"/>
    <x v="5"/>
    <x v="3"/>
    <x v="2"/>
    <n v="4"/>
    <n v="700"/>
    <n v="2380"/>
    <n v="15"/>
    <n v="4"/>
    <x v="3"/>
  </r>
  <r>
    <s v="ORD241"/>
    <d v="2025-04-21T00:00:00"/>
    <x v="7"/>
    <s v="C036"/>
    <n v="30"/>
    <s v="Male"/>
    <x v="1"/>
    <x v="7"/>
    <x v="3"/>
    <x v="1"/>
    <n v="2"/>
    <n v="800"/>
    <n v="1280"/>
    <n v="20"/>
    <n v="4"/>
    <x v="1"/>
  </r>
  <r>
    <s v="ORD242"/>
    <d v="2025-03-28T00:00:00"/>
    <x v="5"/>
    <s v="C111"/>
    <n v="44"/>
    <s v="Female"/>
    <x v="0"/>
    <x v="1"/>
    <x v="1"/>
    <x v="3"/>
    <n v="2"/>
    <n v="850"/>
    <n v="1700"/>
    <n v="0"/>
    <n v="3"/>
    <x v="1"/>
  </r>
  <r>
    <s v="ORD243"/>
    <d v="2025-01-14T00:00:00"/>
    <x v="10"/>
    <s v="C118"/>
    <n v="42"/>
    <s v="Male"/>
    <x v="5"/>
    <x v="0"/>
    <x v="0"/>
    <x v="4"/>
    <n v="2"/>
    <n v="900"/>
    <n v="1440"/>
    <n v="20"/>
    <n v="3"/>
    <x v="3"/>
  </r>
  <r>
    <s v="ORD244"/>
    <d v="2025-07-17T00:00:00"/>
    <x v="1"/>
    <s v="C037"/>
    <n v="39"/>
    <s v="Female"/>
    <x v="4"/>
    <x v="2"/>
    <x v="2"/>
    <x v="2"/>
    <n v="1"/>
    <n v="600"/>
    <n v="570"/>
    <n v="5"/>
    <n v="3"/>
    <x v="3"/>
  </r>
  <r>
    <s v="ORD245"/>
    <d v="2025-10-19T00:00:00"/>
    <x v="9"/>
    <s v="C050"/>
    <n v="20"/>
    <s v="Female"/>
    <x v="5"/>
    <x v="7"/>
    <x v="3"/>
    <x v="2"/>
    <n v="4"/>
    <n v="800"/>
    <n v="2720"/>
    <n v="15"/>
    <n v="3"/>
    <x v="2"/>
  </r>
  <r>
    <s v="ORD246"/>
    <d v="2025-07-06T00:00:00"/>
    <x v="1"/>
    <s v="C043"/>
    <n v="44"/>
    <s v="Male"/>
    <x v="6"/>
    <x v="0"/>
    <x v="0"/>
    <x v="3"/>
    <n v="4"/>
    <n v="900"/>
    <n v="3420"/>
    <n v="5"/>
    <n v="4"/>
    <x v="2"/>
  </r>
  <r>
    <s v="ORD247"/>
    <d v="2025-03-28T00:00:00"/>
    <x v="5"/>
    <s v="C003"/>
    <n v="19"/>
    <s v="Male"/>
    <x v="3"/>
    <x v="1"/>
    <x v="1"/>
    <x v="4"/>
    <n v="2"/>
    <n v="850"/>
    <n v="1530"/>
    <n v="10"/>
    <n v="5"/>
    <x v="2"/>
  </r>
  <r>
    <s v="ORD248"/>
    <d v="2025-06-29T00:00:00"/>
    <x v="8"/>
    <s v="C059"/>
    <n v="30"/>
    <s v="Male"/>
    <x v="5"/>
    <x v="5"/>
    <x v="3"/>
    <x v="3"/>
    <n v="1"/>
    <n v="700"/>
    <n v="665"/>
    <n v="5"/>
    <n v="3"/>
    <x v="3"/>
  </r>
  <r>
    <s v="ORD249"/>
    <d v="2025-02-10T00:00:00"/>
    <x v="0"/>
    <s v="C011"/>
    <n v="35"/>
    <s v="Female"/>
    <x v="7"/>
    <x v="0"/>
    <x v="0"/>
    <x v="3"/>
    <n v="4"/>
    <n v="900"/>
    <n v="3060"/>
    <n v="15"/>
    <n v="5"/>
    <x v="3"/>
  </r>
  <r>
    <s v="ORD250"/>
    <d v="2025-07-29T00:00:00"/>
    <x v="1"/>
    <s v="C029"/>
    <n v="31"/>
    <s v="Male"/>
    <x v="5"/>
    <x v="2"/>
    <x v="2"/>
    <x v="1"/>
    <n v="2"/>
    <n v="600"/>
    <n v="960"/>
    <n v="20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77980-6A68-4325-B994-C5C47E913F1E}" name="PivotTable3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6">
    <pivotField compact="0" outline="0" showAll="0"/>
    <pivotField compact="0" numFmtId="165" outline="0" showAll="0"/>
    <pivotField axis="axisRow" compact="0" outline="0" showAll="0">
      <items count="13">
        <item x="10"/>
        <item x="0"/>
        <item x="5"/>
        <item x="7"/>
        <item x="11"/>
        <item x="8"/>
        <item x="1"/>
        <item x="3"/>
        <item x="6"/>
        <item x="9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4"/>
        <item x="2"/>
        <item x="6"/>
        <item x="1"/>
        <item x="7"/>
        <item x="5"/>
        <item x="0"/>
        <item x="3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compact="0" outline="0" showAll="0">
      <items count="5">
        <item x="3"/>
        <item x="2"/>
        <item x="0"/>
        <item x="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11AFC-21C4-4A2A-B29E-550632EEA2BA}" name="PivotTable4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13">
        <item x="10"/>
        <item x="0"/>
        <item x="5"/>
        <item x="7"/>
        <item x="11"/>
        <item x="8"/>
        <item x="1"/>
        <item x="3"/>
        <item x="6"/>
        <item x="9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4"/>
        <item x="2"/>
        <item x="6"/>
        <item x="1"/>
        <item x="7"/>
        <item x="5"/>
        <item x="0"/>
        <item x="3"/>
        <item t="default"/>
      </items>
    </pivotField>
    <pivotField axis="axisRow" compact="0" outline="0" showAll="0" sortType="descending">
      <items count="9">
        <item x="0"/>
        <item x="7"/>
        <item x="2"/>
        <item x="4"/>
        <item x="6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compact="0" outline="0" showAll="0">
      <items count="5">
        <item x="3"/>
        <item x="2"/>
        <item x="0"/>
        <item x="1"/>
        <item t="default"/>
      </items>
    </pivotField>
  </pivotFields>
  <rowFields count="1">
    <field x="7"/>
  </rowFields>
  <rowItems count="9">
    <i>
      <x/>
    </i>
    <i>
      <x v="5"/>
    </i>
    <i>
      <x v="7"/>
    </i>
    <i>
      <x v="4"/>
    </i>
    <i>
      <x v="3"/>
    </i>
    <i>
      <x v="2"/>
    </i>
    <i>
      <x v="1"/>
    </i>
    <i>
      <x v="6"/>
    </i>
    <i t="grand">
      <x/>
    </i>
  </rowItems>
  <colItems count="1">
    <i/>
  </colItems>
  <dataFields count="1">
    <dataField name="Sum of Revenue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3B5F3-C9D6-45C8-8D65-61A465D2F12A}" name="PivotTable5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13">
        <item x="10"/>
        <item x="0"/>
        <item x="5"/>
        <item x="7"/>
        <item x="11"/>
        <item x="8"/>
        <item x="1"/>
        <item x="3"/>
        <item x="6"/>
        <item x="9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9">
        <item x="4"/>
        <item x="2"/>
        <item x="6"/>
        <item x="1"/>
        <item x="7"/>
        <item x="5"/>
        <item x="0"/>
        <item x="3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compact="0" outline="0" showAll="0">
      <items count="5">
        <item x="3"/>
        <item x="2"/>
        <item x="0"/>
        <item x="1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18749-191E-4BA2-A4B4-D6E8F8E2F36F}" name="PivotTable6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13">
        <item x="10"/>
        <item x="0"/>
        <item x="5"/>
        <item x="7"/>
        <item x="11"/>
        <item x="8"/>
        <item x="1"/>
        <item x="3"/>
        <item x="6"/>
        <item x="9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4"/>
        <item x="2"/>
        <item x="6"/>
        <item x="1"/>
        <item x="7"/>
        <item x="5"/>
        <item x="0"/>
        <item x="3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axis="axisRow" compact="0" outline="0" showAll="0">
      <items count="5">
        <item x="3"/>
        <item x="2"/>
        <item x="0"/>
        <item x="1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2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C5DDB-DE9D-41A4-A40D-B3B10D6B67C1}" name="PivotTable7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9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13">
        <item x="10"/>
        <item x="0"/>
        <item x="5"/>
        <item x="7"/>
        <item x="11"/>
        <item x="8"/>
        <item x="1"/>
        <item x="3"/>
        <item x="6"/>
        <item x="9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4"/>
        <item x="2"/>
        <item x="6"/>
        <item x="1"/>
        <item x="7"/>
        <item x="5"/>
        <item x="0"/>
        <item x="3"/>
        <item t="default"/>
      </items>
    </pivotField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compact="0" outline="0" showAll="0">
      <items count="5">
        <item x="3"/>
        <item x="2"/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2" baseField="0" baseItem="0"/>
  </dataFields>
  <chartFormats count="4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76A62-B796-4C57-BEAB-AC48A5D0937E}" name="PivotTable8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9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13">
        <item x="10"/>
        <item x="0"/>
        <item x="5"/>
        <item x="7"/>
        <item x="11"/>
        <item x="8"/>
        <item x="1"/>
        <item x="3"/>
        <item x="6"/>
        <item x="9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4"/>
        <item x="2"/>
        <item x="6"/>
        <item x="1"/>
        <item x="7"/>
        <item x="5"/>
        <item x="0"/>
        <item x="3"/>
        <item t="default"/>
      </items>
    </pivotField>
    <pivotField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compact="0" outline="0" showAll="0">
      <items count="5">
        <item x="3"/>
        <item x="2"/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2" baseField="0" baseItem="0"/>
  </dataFields>
  <chartFormats count="6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4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1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1" format="5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2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6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6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6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2" format="6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CD951A49-8793-47D1-94D3-D4F5E4690908}" sourceName="Month">
  <pivotTables>
    <pivotTable tabId="4" name="PivotTable3"/>
    <pivotTable tabId="5" name="PivotTable4"/>
    <pivotTable tabId="8" name="PivotTable7"/>
    <pivotTable tabId="6" name="PivotTable5"/>
    <pivotTable tabId="9" name="PivotTable8"/>
    <pivotTable tabId="7" name="PivotTable6"/>
  </pivotTables>
  <data>
    <tabular pivotCacheId="1377472565">
      <items count="12">
        <i x="10" s="1"/>
        <i x="0" s="1"/>
        <i x="5" s="1"/>
        <i x="7" s="1"/>
        <i x="11" s="1"/>
        <i x="8" s="1"/>
        <i x="1" s="1"/>
        <i x="3" s="1"/>
        <i x="6" s="1"/>
        <i x="9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AEA27280-A509-429C-8B92-F62D5F397EF4}" sourceName="City">
  <pivotTables>
    <pivotTable tabId="4" name="PivotTable3"/>
    <pivotTable tabId="5" name="PivotTable4"/>
    <pivotTable tabId="6" name="PivotTable5"/>
    <pivotTable tabId="7" name="PivotTable6"/>
    <pivotTable tabId="9" name="PivotTable8"/>
    <pivotTable tabId="8" name="PivotTable7"/>
  </pivotTables>
  <data>
    <tabular pivotCacheId="1377472565">
      <items count="8">
        <i x="4" s="1"/>
        <i x="2" s="1"/>
        <i x="6" s="1"/>
        <i x="1" s="1"/>
        <i x="7" s="1"/>
        <i x="5" s="1"/>
        <i x="0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7E2889AB-242F-4CA5-ABC7-C88F897D2BDA}" sourceName="Category">
  <pivotTables>
    <pivotTable tabId="4" name="PivotTable3"/>
    <pivotTable tabId="5" name="PivotTable4"/>
    <pivotTable tabId="9" name="PivotTable8"/>
    <pivotTable tabId="8" name="PivotTable7"/>
    <pivotTable tabId="7" name="PivotTable6"/>
    <pivotTable tabId="6" name="PivotTable5"/>
  </pivotTables>
  <data>
    <tabular pivotCacheId="1377472565">
      <items count="5">
        <i x="2" s="1"/>
        <i x="1" s="1"/>
        <i x="0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kin_Type" xr10:uid="{6F97BDA0-A0F7-42D5-8325-770B6C84BC46}" sourceName="Skin_Type">
  <pivotTables>
    <pivotTable tabId="4" name="PivotTable3"/>
    <pivotTable tabId="6" name="PivotTable5"/>
    <pivotTable tabId="8" name="PivotTable7"/>
    <pivotTable tabId="9" name="PivotTable8"/>
    <pivotTable tabId="5" name="PivotTable4"/>
    <pivotTable tabId="7" name="PivotTable6"/>
  </pivotTables>
  <data>
    <tabular pivotCacheId="1377472565">
      <items count="5">
        <i x="2" s="1"/>
        <i x="3" s="1"/>
        <i x="4" s="1"/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urchase_Channel" xr10:uid="{A9712160-C967-4B7C-8342-71B48B17D6E7}" sourceName="Purchase_Channel">
  <pivotTables>
    <pivotTable tabId="4" name="PivotTable3"/>
    <pivotTable tabId="5" name="PivotTable4"/>
    <pivotTable tabId="7" name="PivotTable6"/>
    <pivotTable tabId="8" name="PivotTable7"/>
    <pivotTable tabId="6" name="PivotTable5"/>
    <pivotTable tabId="9" name="PivotTable8"/>
  </pivotTables>
  <data>
    <tabular pivotCacheId="1377472565">
      <items count="4">
        <i x="3" s="1"/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64430077-3CFB-4AAE-AC49-C5FC7C9D152D}" cache="Slicer_Month" caption="Month" columnCount="3" style="SlicerStyleLight3" rowHeight="733425"/>
  <slicer name="City 1" xr10:uid="{A40324BA-B9FD-4DC9-A7E1-36A13C4AFF01}" cache="Slicer_City" caption="City" startItem="4" columnCount="2" style="SlicerStyleLight3" rowHeight="638175"/>
  <slicer name="Category 1" xr10:uid="{529190E0-48AA-4523-A9A7-AB627A63304F}" cache="Slicer_Category" caption="Category" startItem="2" columnCount="2" style="SlicerStyleLight3" rowHeight="638175"/>
  <slicer name="Skin_Type 1" xr10:uid="{9E4E70B3-0009-430F-B4A4-51EB119C487B}" cache="Slicer_Skin_Type" caption="Skin_Type" columnCount="3" style="SlicerStyleLight3" rowHeight="638175"/>
  <slicer name="Purchase_Channel 1" xr10:uid="{9B9D8A63-9B04-4238-987A-183C4C8CA190}" cache="Slicer_Purchase_Channel" caption="Purchase_Channel" startItem="2" columnCount="2" style="SlicerStyleLight3" rowHeight="63817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A7C2-ABC2-4D54-AE18-49A43BC43666}">
  <sheetPr>
    <tabColor theme="6" tint="-0.499984740745262"/>
    <pageSetUpPr fitToPage="1"/>
  </sheetPr>
  <dimension ref="A1:AS10"/>
  <sheetViews>
    <sheetView showGridLines="0" tabSelected="1" workbookViewId="0">
      <pane ySplit="3" topLeftCell="A4" activePane="bottomLeft" state="frozen"/>
      <selection pane="bottomLeft" activeCell="AK15" sqref="AK15"/>
    </sheetView>
  </sheetViews>
  <sheetFormatPr defaultRowHeight="15"/>
  <cols>
    <col min="13" max="13" width="11.42578125" bestFit="1" customWidth="1"/>
    <col min="14" max="14" width="15.28515625" bestFit="1" customWidth="1"/>
  </cols>
  <sheetData>
    <row r="1" spans="1:45" ht="1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30"/>
      <c r="AM1" s="30"/>
      <c r="AN1" s="30"/>
      <c r="AO1" s="30"/>
      <c r="AP1" s="30"/>
      <c r="AQ1" s="30"/>
      <c r="AR1" s="30"/>
      <c r="AS1" s="30"/>
    </row>
    <row r="2" spans="1:45" ht="1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0"/>
      <c r="AM2" s="30"/>
      <c r="AN2" s="30"/>
      <c r="AO2" s="30"/>
      <c r="AP2" s="30"/>
      <c r="AQ2" s="30"/>
      <c r="AR2" s="30"/>
      <c r="AS2" s="30"/>
    </row>
    <row r="3" spans="1:45" ht="1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30"/>
      <c r="AM3" s="30"/>
      <c r="AN3" s="30"/>
      <c r="AO3" s="30"/>
      <c r="AP3" s="30"/>
      <c r="AQ3" s="30"/>
      <c r="AR3" s="30"/>
      <c r="AS3" s="30"/>
    </row>
    <row r="7" spans="1:45" ht="15" customHeight="1">
      <c r="F7" s="11">
        <f>SUM(The_Ordinary_Sales!M:M)</f>
        <v>425705</v>
      </c>
      <c r="G7" s="12"/>
      <c r="H7" s="12"/>
      <c r="I7" s="13"/>
      <c r="L7" s="11">
        <f>COUNTA(The_Ordinary_Sales!A:A)-1</f>
        <v>251</v>
      </c>
      <c r="M7" s="12"/>
      <c r="N7" s="12"/>
      <c r="O7" s="13"/>
      <c r="R7" s="11">
        <f>AVERAGE(The_Ordinary_Sales!O:O)</f>
        <v>4.0159362549800797</v>
      </c>
      <c r="S7" s="12"/>
      <c r="T7" s="12"/>
      <c r="U7" s="13"/>
      <c r="X7" s="11">
        <f>ROUND(F7/L7,0)</f>
        <v>1696</v>
      </c>
      <c r="Y7" s="12"/>
      <c r="Z7" s="12"/>
      <c r="AA7" s="13"/>
      <c r="AD7" s="20" t="str">
        <f>'Top produtcs'!A4</f>
        <v>AHA 30% + BHA 2% Peel</v>
      </c>
      <c r="AE7" s="21"/>
      <c r="AF7" s="21"/>
      <c r="AG7" s="22"/>
    </row>
    <row r="8" spans="1:45" ht="15" customHeight="1">
      <c r="F8" s="14"/>
      <c r="G8" s="15"/>
      <c r="H8" s="15"/>
      <c r="I8" s="16"/>
      <c r="L8" s="14"/>
      <c r="M8" s="15"/>
      <c r="N8" s="15"/>
      <c r="O8" s="16"/>
      <c r="R8" s="14"/>
      <c r="S8" s="15"/>
      <c r="T8" s="15"/>
      <c r="U8" s="16"/>
      <c r="X8" s="14"/>
      <c r="Y8" s="15"/>
      <c r="Z8" s="15"/>
      <c r="AA8" s="16"/>
      <c r="AD8" s="23"/>
      <c r="AE8" s="24"/>
      <c r="AF8" s="24"/>
      <c r="AG8" s="25"/>
    </row>
    <row r="9" spans="1:45" ht="15" customHeight="1">
      <c r="F9" s="14"/>
      <c r="G9" s="15"/>
      <c r="H9" s="15"/>
      <c r="I9" s="16"/>
      <c r="L9" s="14"/>
      <c r="M9" s="15"/>
      <c r="N9" s="15"/>
      <c r="O9" s="16"/>
      <c r="R9" s="14"/>
      <c r="S9" s="15"/>
      <c r="T9" s="15"/>
      <c r="U9" s="16"/>
      <c r="X9" s="14"/>
      <c r="Y9" s="15"/>
      <c r="Z9" s="15"/>
      <c r="AA9" s="16"/>
      <c r="AD9" s="23"/>
      <c r="AE9" s="24"/>
      <c r="AF9" s="24"/>
      <c r="AG9" s="25"/>
    </row>
    <row r="10" spans="1:45" ht="15" customHeight="1">
      <c r="F10" s="17"/>
      <c r="G10" s="18"/>
      <c r="H10" s="18"/>
      <c r="I10" s="19"/>
      <c r="L10" s="17"/>
      <c r="M10" s="18"/>
      <c r="N10" s="18"/>
      <c r="O10" s="19"/>
      <c r="R10" s="17"/>
      <c r="S10" s="18"/>
      <c r="T10" s="18"/>
      <c r="U10" s="19"/>
      <c r="X10" s="17"/>
      <c r="Y10" s="18"/>
      <c r="Z10" s="18"/>
      <c r="AA10" s="19"/>
      <c r="AD10" s="26"/>
      <c r="AE10" s="27"/>
      <c r="AF10" s="27"/>
      <c r="AG10" s="28"/>
    </row>
  </sheetData>
  <mergeCells count="6">
    <mergeCell ref="F7:I10"/>
    <mergeCell ref="L7:O10"/>
    <mergeCell ref="R7:U10"/>
    <mergeCell ref="X7:AA10"/>
    <mergeCell ref="AD7:AG10"/>
    <mergeCell ref="A1:AK3"/>
  </mergeCells>
  <pageMargins left="1" right="1" top="1" bottom="1" header="0.5" footer="0.5"/>
  <pageSetup fitToHeight="0"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4424-51D6-46D4-BD40-5B1E96DC9F6B}">
  <sheetPr>
    <tabColor theme="6" tint="0.59999389629810485"/>
  </sheetPr>
  <dimension ref="A3:B16"/>
  <sheetViews>
    <sheetView showGridLines="0" workbookViewId="0">
      <selection activeCell="N2" sqref="N2"/>
    </sheetView>
  </sheetViews>
  <sheetFormatPr defaultRowHeight="15"/>
  <cols>
    <col min="1" max="1" width="11.42578125" bestFit="1" customWidth="1"/>
    <col min="2" max="2" width="15.28515625" bestFit="1" customWidth="1"/>
  </cols>
  <sheetData>
    <row r="3" spans="1:2">
      <c r="A3" s="5" t="s">
        <v>1</v>
      </c>
      <c r="B3" t="s">
        <v>2</v>
      </c>
    </row>
    <row r="4" spans="1:2">
      <c r="A4" t="s">
        <v>3</v>
      </c>
      <c r="B4" s="6">
        <v>43470</v>
      </c>
    </row>
    <row r="5" spans="1:2">
      <c r="A5" t="s">
        <v>4</v>
      </c>
      <c r="B5" s="6">
        <v>35022.5</v>
      </c>
    </row>
    <row r="6" spans="1:2">
      <c r="A6" t="s">
        <v>5</v>
      </c>
      <c r="B6" s="6">
        <v>37517.5</v>
      </c>
    </row>
    <row r="7" spans="1:2">
      <c r="A7" t="s">
        <v>6</v>
      </c>
      <c r="B7" s="6">
        <v>39947.5</v>
      </c>
    </row>
    <row r="8" spans="1:2">
      <c r="A8" t="s">
        <v>7</v>
      </c>
      <c r="B8" s="6">
        <v>24612.5</v>
      </c>
    </row>
    <row r="9" spans="1:2">
      <c r="A9" t="s">
        <v>8</v>
      </c>
      <c r="B9" s="6">
        <v>26755</v>
      </c>
    </row>
    <row r="10" spans="1:2">
      <c r="A10" t="s">
        <v>9</v>
      </c>
      <c r="B10" s="6">
        <v>51122.5</v>
      </c>
    </row>
    <row r="11" spans="1:2">
      <c r="A11" t="s">
        <v>10</v>
      </c>
      <c r="B11" s="6">
        <v>28132.5</v>
      </c>
    </row>
    <row r="12" spans="1:2">
      <c r="A12" t="s">
        <v>11</v>
      </c>
      <c r="B12" s="6">
        <v>42325</v>
      </c>
    </row>
    <row r="13" spans="1:2">
      <c r="A13" t="s">
        <v>12</v>
      </c>
      <c r="B13" s="6">
        <v>28267.5</v>
      </c>
    </row>
    <row r="14" spans="1:2">
      <c r="A14" t="s">
        <v>13</v>
      </c>
      <c r="B14" s="6">
        <v>36952.5</v>
      </c>
    </row>
    <row r="15" spans="1:2">
      <c r="A15" t="s">
        <v>14</v>
      </c>
      <c r="B15" s="6">
        <v>30620</v>
      </c>
    </row>
    <row r="16" spans="1:2">
      <c r="A16" t="s">
        <v>15</v>
      </c>
      <c r="B16" s="6">
        <v>424745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9FE4-5540-40A3-A3B6-43AC3AFAC320}">
  <sheetPr>
    <tabColor theme="6" tint="0.59999389629810485"/>
  </sheetPr>
  <dimension ref="A3:B12"/>
  <sheetViews>
    <sheetView showGridLines="0" workbookViewId="0">
      <selection activeCell="J5" sqref="J5"/>
    </sheetView>
  </sheetViews>
  <sheetFormatPr defaultRowHeight="15"/>
  <cols>
    <col min="1" max="1" width="25.5703125" bestFit="1" customWidth="1"/>
    <col min="2" max="2" width="15.28515625" bestFit="1" customWidth="1"/>
  </cols>
  <sheetData>
    <row r="3" spans="1:2">
      <c r="A3" s="5" t="s">
        <v>16</v>
      </c>
      <c r="B3" t="s">
        <v>2</v>
      </c>
    </row>
    <row r="4" spans="1:2">
      <c r="A4" t="s">
        <v>17</v>
      </c>
      <c r="B4" s="6">
        <v>82530</v>
      </c>
    </row>
    <row r="5" spans="1:2">
      <c r="A5" t="s">
        <v>18</v>
      </c>
      <c r="B5" s="6">
        <v>67575</v>
      </c>
    </row>
    <row r="6" spans="1:2">
      <c r="A6" t="s">
        <v>19</v>
      </c>
      <c r="B6" s="6">
        <v>55125</v>
      </c>
    </row>
    <row r="7" spans="1:2">
      <c r="A7" t="s">
        <v>20</v>
      </c>
      <c r="B7" s="6">
        <v>52130</v>
      </c>
    </row>
    <row r="8" spans="1:2">
      <c r="A8" t="s">
        <v>21</v>
      </c>
      <c r="B8" s="6">
        <v>51487.5</v>
      </c>
    </row>
    <row r="9" spans="1:2">
      <c r="A9" t="s">
        <v>22</v>
      </c>
      <c r="B9" s="6">
        <v>47850</v>
      </c>
    </row>
    <row r="10" spans="1:2">
      <c r="A10" t="s">
        <v>23</v>
      </c>
      <c r="B10" s="6">
        <v>40960</v>
      </c>
    </row>
    <row r="11" spans="1:2">
      <c r="A11" t="s">
        <v>24</v>
      </c>
      <c r="B11" s="6">
        <v>27087.5</v>
      </c>
    </row>
    <row r="12" spans="1:2">
      <c r="A12" t="s">
        <v>15</v>
      </c>
      <c r="B12" s="6">
        <v>424745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1056-E34A-4C6D-AD71-AEEAA5F1AAE6}">
  <sheetPr>
    <tabColor theme="6" tint="0.59999389629810485"/>
  </sheetPr>
  <dimension ref="A3:B12"/>
  <sheetViews>
    <sheetView showGridLines="0" workbookViewId="0">
      <selection activeCell="I6" sqref="I6"/>
    </sheetView>
  </sheetViews>
  <sheetFormatPr defaultRowHeight="15"/>
  <cols>
    <col min="1" max="1" width="11.42578125" bestFit="1" customWidth="1"/>
    <col min="2" max="2" width="15.28515625" bestFit="1" customWidth="1"/>
  </cols>
  <sheetData>
    <row r="3" spans="1:2">
      <c r="A3" s="5" t="s">
        <v>25</v>
      </c>
      <c r="B3" t="s">
        <v>2</v>
      </c>
    </row>
    <row r="4" spans="1:2">
      <c r="A4" t="s">
        <v>26</v>
      </c>
      <c r="B4" s="6">
        <v>46570</v>
      </c>
    </row>
    <row r="5" spans="1:2">
      <c r="A5" t="s">
        <v>27</v>
      </c>
      <c r="B5" s="6">
        <v>62102.5</v>
      </c>
    </row>
    <row r="6" spans="1:2">
      <c r="A6" t="s">
        <v>28</v>
      </c>
      <c r="B6" s="6">
        <v>38462.5</v>
      </c>
    </row>
    <row r="7" spans="1:2">
      <c r="A7" t="s">
        <v>29</v>
      </c>
      <c r="B7" s="6">
        <v>52860</v>
      </c>
    </row>
    <row r="8" spans="1:2">
      <c r="A8" t="s">
        <v>30</v>
      </c>
      <c r="B8" s="6">
        <v>45165</v>
      </c>
    </row>
    <row r="9" spans="1:2">
      <c r="A9" t="s">
        <v>31</v>
      </c>
      <c r="B9" s="6">
        <v>63405</v>
      </c>
    </row>
    <row r="10" spans="1:2">
      <c r="A10" t="s">
        <v>32</v>
      </c>
      <c r="B10" s="6">
        <v>72872.5</v>
      </c>
    </row>
    <row r="11" spans="1:2">
      <c r="A11" t="s">
        <v>33</v>
      </c>
      <c r="B11" s="6">
        <v>43307.5</v>
      </c>
    </row>
    <row r="12" spans="1:2">
      <c r="A12" t="s">
        <v>15</v>
      </c>
      <c r="B12" s="6">
        <v>424745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967E-3C23-4DBA-AE91-2F9A4F66B617}">
  <sheetPr>
    <tabColor theme="6" tint="0.59999389629810485"/>
  </sheetPr>
  <dimension ref="A3:B8"/>
  <sheetViews>
    <sheetView showGridLines="0" workbookViewId="0">
      <selection activeCell="K5" sqref="K5"/>
    </sheetView>
  </sheetViews>
  <sheetFormatPr defaultRowHeight="15"/>
  <cols>
    <col min="1" max="1" width="20.42578125" bestFit="1" customWidth="1"/>
    <col min="2" max="2" width="15.28515625" bestFit="1" customWidth="1"/>
    <col min="3" max="3" width="6.42578125" bestFit="1" customWidth="1"/>
    <col min="4" max="4" width="8.28515625" bestFit="1" customWidth="1"/>
    <col min="5" max="5" width="11.42578125" bestFit="1" customWidth="1"/>
  </cols>
  <sheetData>
    <row r="3" spans="1:2">
      <c r="A3" s="5" t="s">
        <v>34</v>
      </c>
      <c r="B3" t="s">
        <v>2</v>
      </c>
    </row>
    <row r="4" spans="1:2">
      <c r="A4" t="s">
        <v>35</v>
      </c>
      <c r="B4" s="6">
        <v>129115</v>
      </c>
    </row>
    <row r="5" spans="1:2">
      <c r="A5" t="s">
        <v>36</v>
      </c>
      <c r="B5" s="6">
        <v>109962.5</v>
      </c>
    </row>
    <row r="6" spans="1:2">
      <c r="A6" t="s">
        <v>37</v>
      </c>
      <c r="B6" s="6">
        <v>94435</v>
      </c>
    </row>
    <row r="7" spans="1:2">
      <c r="A7" t="s">
        <v>38</v>
      </c>
      <c r="B7" s="6">
        <v>91232.5</v>
      </c>
    </row>
    <row r="8" spans="1:2">
      <c r="A8" t="s">
        <v>15</v>
      </c>
      <c r="B8" s="6">
        <v>424745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A900-532C-4C59-A49A-64003342B06C}">
  <sheetPr>
    <tabColor theme="6" tint="0.59999389629810485"/>
  </sheetPr>
  <dimension ref="A3:B9"/>
  <sheetViews>
    <sheetView showGridLines="0" workbookViewId="0">
      <selection activeCell="J7" sqref="J7"/>
    </sheetView>
  </sheetViews>
  <sheetFormatPr defaultRowHeight="15"/>
  <cols>
    <col min="1" max="1" width="13.140625" bestFit="1" customWidth="1"/>
    <col min="2" max="2" width="15.28515625" bestFit="1" customWidth="1"/>
  </cols>
  <sheetData>
    <row r="3" spans="1:2">
      <c r="A3" s="5" t="s">
        <v>39</v>
      </c>
      <c r="B3" t="s">
        <v>2</v>
      </c>
    </row>
    <row r="4" spans="1:2">
      <c r="A4" t="s">
        <v>40</v>
      </c>
      <c r="B4" s="6">
        <v>98190</v>
      </c>
    </row>
    <row r="5" spans="1:2">
      <c r="A5" t="s">
        <v>41</v>
      </c>
      <c r="B5" s="6">
        <v>82412.5</v>
      </c>
    </row>
    <row r="6" spans="1:2">
      <c r="A6" t="s">
        <v>42</v>
      </c>
      <c r="B6" s="6">
        <v>67457.5</v>
      </c>
    </row>
    <row r="7" spans="1:2">
      <c r="A7" t="s">
        <v>43</v>
      </c>
      <c r="B7" s="6">
        <v>85987.5</v>
      </c>
    </row>
    <row r="8" spans="1:2">
      <c r="A8" t="s">
        <v>44</v>
      </c>
      <c r="B8" s="6">
        <v>90697.5</v>
      </c>
    </row>
    <row r="9" spans="1:2">
      <c r="A9" t="s">
        <v>15</v>
      </c>
      <c r="B9" s="6">
        <v>424745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70C9-A39B-400E-B6A9-0CA6D18A7554}">
  <sheetPr>
    <tabColor theme="6" tint="0.59999389629810485"/>
  </sheetPr>
  <dimension ref="A3:B9"/>
  <sheetViews>
    <sheetView showGridLines="0" workbookViewId="0">
      <selection activeCell="J6" sqref="J6"/>
    </sheetView>
  </sheetViews>
  <sheetFormatPr defaultRowHeight="15"/>
  <cols>
    <col min="1" max="1" width="12" bestFit="1" customWidth="1"/>
    <col min="2" max="2" width="15.28515625" bestFit="1" customWidth="1"/>
  </cols>
  <sheetData>
    <row r="3" spans="1:2">
      <c r="A3" s="5" t="s">
        <v>45</v>
      </c>
      <c r="B3" t="s">
        <v>2</v>
      </c>
    </row>
    <row r="4" spans="1:2">
      <c r="A4" t="s">
        <v>46</v>
      </c>
      <c r="B4" s="6">
        <v>47850</v>
      </c>
    </row>
    <row r="5" spans="1:2">
      <c r="A5" t="s">
        <v>47</v>
      </c>
      <c r="B5" s="6">
        <v>67575</v>
      </c>
    </row>
    <row r="6" spans="1:2">
      <c r="A6" t="s">
        <v>48</v>
      </c>
      <c r="B6" s="6">
        <v>82530</v>
      </c>
    </row>
    <row r="7" spans="1:2">
      <c r="A7" t="s">
        <v>49</v>
      </c>
      <c r="B7" s="6">
        <v>175302.5</v>
      </c>
    </row>
    <row r="8" spans="1:2">
      <c r="A8" t="s">
        <v>50</v>
      </c>
      <c r="B8" s="6">
        <v>51487.5</v>
      </c>
    </row>
    <row r="9" spans="1:2">
      <c r="A9" t="s">
        <v>15</v>
      </c>
      <c r="B9" s="6">
        <v>424745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R253"/>
  <sheetViews>
    <sheetView workbookViewId="0">
      <pane ySplit="1" topLeftCell="A2" activePane="bottomLeft" state="frozen"/>
      <selection pane="bottomLeft" activeCell="R7" sqref="R7"/>
    </sheetView>
  </sheetViews>
  <sheetFormatPr defaultRowHeight="15"/>
  <cols>
    <col min="1" max="1" width="10.85546875" customWidth="1"/>
    <col min="2" max="2" width="12.5703125" customWidth="1"/>
    <col min="3" max="3" width="11.140625" customWidth="1"/>
    <col min="4" max="4" width="8.42578125" customWidth="1"/>
    <col min="5" max="5" width="8.140625" customWidth="1"/>
    <col min="6" max="6" width="8.85546875" customWidth="1"/>
    <col min="7" max="7" width="11" customWidth="1"/>
    <col min="8" max="8" width="24.7109375" customWidth="1"/>
    <col min="9" max="9" width="9.7109375" customWidth="1"/>
    <col min="10" max="10" width="12.140625" customWidth="1"/>
    <col min="11" max="11" width="10" customWidth="1"/>
    <col min="12" max="12" width="12.7109375" customWidth="1"/>
    <col min="13" max="13" width="8.7109375" customWidth="1"/>
    <col min="14" max="14" width="11.140625" customWidth="1"/>
    <col min="16" max="16" width="17.5703125" customWidth="1"/>
  </cols>
  <sheetData>
    <row r="1" spans="1:18" ht="15.75">
      <c r="A1" s="3" t="s">
        <v>51</v>
      </c>
      <c r="B1" s="7" t="s">
        <v>52</v>
      </c>
      <c r="C1" s="7" t="s">
        <v>1</v>
      </c>
      <c r="D1" s="3" t="s">
        <v>53</v>
      </c>
      <c r="E1" s="3" t="s">
        <v>54</v>
      </c>
      <c r="F1" s="3" t="s">
        <v>55</v>
      </c>
      <c r="G1" s="3" t="s">
        <v>25</v>
      </c>
      <c r="H1" s="3" t="s">
        <v>16</v>
      </c>
      <c r="I1" s="3" t="s">
        <v>45</v>
      </c>
      <c r="J1" s="3" t="s">
        <v>39</v>
      </c>
      <c r="K1" s="3" t="s">
        <v>56</v>
      </c>
      <c r="L1" s="3" t="s">
        <v>57</v>
      </c>
      <c r="M1" s="3" t="s">
        <v>58</v>
      </c>
      <c r="N1" s="3" t="s">
        <v>59</v>
      </c>
      <c r="O1" s="4" t="s">
        <v>60</v>
      </c>
      <c r="P1" s="3" t="s">
        <v>34</v>
      </c>
    </row>
    <row r="2" spans="1:18">
      <c r="A2" s="1" t="s">
        <v>61</v>
      </c>
      <c r="B2" s="8">
        <v>45698</v>
      </c>
      <c r="C2" s="9" t="str">
        <f>TEXT(B2,"mmm")</f>
        <v>Feb</v>
      </c>
      <c r="D2" s="1" t="s">
        <v>62</v>
      </c>
      <c r="E2" s="1">
        <v>37</v>
      </c>
      <c r="F2" s="1" t="s">
        <v>63</v>
      </c>
      <c r="G2" s="1" t="s">
        <v>32</v>
      </c>
      <c r="H2" s="1" t="s">
        <v>17</v>
      </c>
      <c r="I2" s="1" t="s">
        <v>48</v>
      </c>
      <c r="J2" s="1" t="s">
        <v>43</v>
      </c>
      <c r="K2" s="1">
        <v>2</v>
      </c>
      <c r="L2" s="1">
        <v>900</v>
      </c>
      <c r="M2" s="1">
        <v>1440</v>
      </c>
      <c r="N2" s="1">
        <v>20</v>
      </c>
      <c r="O2" s="2">
        <v>4</v>
      </c>
      <c r="P2" s="1" t="s">
        <v>37</v>
      </c>
    </row>
    <row r="3" spans="1:18">
      <c r="A3" s="1" t="s">
        <v>64</v>
      </c>
      <c r="B3" s="8">
        <v>45855</v>
      </c>
      <c r="C3" s="9" t="str">
        <f t="shared" ref="C3:C66" si="0">TEXT(B3,"mmm")</f>
        <v>Jul</v>
      </c>
      <c r="D3" s="1" t="s">
        <v>65</v>
      </c>
      <c r="E3" s="1">
        <v>45</v>
      </c>
      <c r="F3" s="1" t="s">
        <v>66</v>
      </c>
      <c r="G3" s="1" t="s">
        <v>29</v>
      </c>
      <c r="H3" s="1" t="s">
        <v>18</v>
      </c>
      <c r="I3" s="1" t="s">
        <v>47</v>
      </c>
      <c r="J3" s="1" t="s">
        <v>44</v>
      </c>
      <c r="K3" s="1">
        <v>2</v>
      </c>
      <c r="L3" s="1">
        <v>850</v>
      </c>
      <c r="M3" s="1">
        <v>1530</v>
      </c>
      <c r="N3" s="1">
        <v>10</v>
      </c>
      <c r="O3" s="2">
        <v>3</v>
      </c>
      <c r="P3" s="1" t="s">
        <v>38</v>
      </c>
    </row>
    <row r="4" spans="1:18">
      <c r="A4" s="1" t="s">
        <v>67</v>
      </c>
      <c r="B4" s="8">
        <v>45702</v>
      </c>
      <c r="C4" s="9" t="str">
        <f t="shared" si="0"/>
        <v>Feb</v>
      </c>
      <c r="D4" s="1" t="s">
        <v>68</v>
      </c>
      <c r="E4" s="1">
        <v>36</v>
      </c>
      <c r="F4" s="1" t="s">
        <v>66</v>
      </c>
      <c r="G4" s="1" t="s">
        <v>27</v>
      </c>
      <c r="H4" s="1" t="s">
        <v>22</v>
      </c>
      <c r="I4" s="1" t="s">
        <v>46</v>
      </c>
      <c r="J4" s="1" t="s">
        <v>44</v>
      </c>
      <c r="K4" s="1">
        <v>3</v>
      </c>
      <c r="L4" s="1">
        <v>600</v>
      </c>
      <c r="M4" s="1">
        <v>1620</v>
      </c>
      <c r="N4" s="1">
        <v>10</v>
      </c>
      <c r="O4" s="2">
        <v>5</v>
      </c>
      <c r="P4" s="1" t="s">
        <v>37</v>
      </c>
    </row>
    <row r="5" spans="1:18">
      <c r="A5" s="1" t="s">
        <v>69</v>
      </c>
      <c r="B5" s="8">
        <v>46007</v>
      </c>
      <c r="C5" s="9" t="str">
        <f t="shared" si="0"/>
        <v>Dec</v>
      </c>
      <c r="D5" s="1" t="s">
        <v>70</v>
      </c>
      <c r="E5" s="1">
        <v>20</v>
      </c>
      <c r="F5" s="1" t="s">
        <v>66</v>
      </c>
      <c r="G5" s="1" t="s">
        <v>33</v>
      </c>
      <c r="H5" s="1" t="s">
        <v>24</v>
      </c>
      <c r="I5" s="1" t="s">
        <v>49</v>
      </c>
      <c r="J5" s="1" t="s">
        <v>44</v>
      </c>
      <c r="K5" s="1">
        <v>4</v>
      </c>
      <c r="L5" s="1">
        <v>550</v>
      </c>
      <c r="M5" s="1">
        <v>1870</v>
      </c>
      <c r="N5" s="1">
        <v>15</v>
      </c>
      <c r="O5" s="2">
        <v>3</v>
      </c>
      <c r="P5" s="1" t="s">
        <v>36</v>
      </c>
    </row>
    <row r="6" spans="1:18">
      <c r="A6" s="1" t="s">
        <v>71</v>
      </c>
      <c r="B6" s="8">
        <v>45892</v>
      </c>
      <c r="C6" s="9" t="str">
        <f t="shared" si="0"/>
        <v>Aug</v>
      </c>
      <c r="D6" s="1" t="s">
        <v>72</v>
      </c>
      <c r="E6" s="1">
        <v>20</v>
      </c>
      <c r="F6" s="1" t="s">
        <v>66</v>
      </c>
      <c r="G6" s="1" t="s">
        <v>27</v>
      </c>
      <c r="H6" s="1" t="s">
        <v>21</v>
      </c>
      <c r="I6" s="1" t="s">
        <v>50</v>
      </c>
      <c r="J6" s="1" t="s">
        <v>40</v>
      </c>
      <c r="K6" s="1">
        <v>2</v>
      </c>
      <c r="L6" s="1">
        <v>750</v>
      </c>
      <c r="M6" s="1">
        <v>1425</v>
      </c>
      <c r="N6" s="1">
        <v>5</v>
      </c>
      <c r="O6" s="2">
        <v>5</v>
      </c>
      <c r="P6" s="1" t="s">
        <v>35</v>
      </c>
    </row>
    <row r="7" spans="1:18">
      <c r="A7" s="1" t="s">
        <v>73</v>
      </c>
      <c r="B7" s="8">
        <v>45703</v>
      </c>
      <c r="C7" s="9" t="str">
        <f t="shared" si="0"/>
        <v>Feb</v>
      </c>
      <c r="D7" s="1" t="s">
        <v>74</v>
      </c>
      <c r="E7" s="1">
        <v>37</v>
      </c>
      <c r="F7" s="1" t="s">
        <v>63</v>
      </c>
      <c r="G7" s="1" t="s">
        <v>26</v>
      </c>
      <c r="H7" s="1" t="s">
        <v>19</v>
      </c>
      <c r="I7" s="1" t="s">
        <v>49</v>
      </c>
      <c r="J7" s="1" t="s">
        <v>40</v>
      </c>
      <c r="K7" s="1">
        <v>3</v>
      </c>
      <c r="L7" s="1">
        <v>700</v>
      </c>
      <c r="M7" s="1">
        <v>1785</v>
      </c>
      <c r="N7" s="1">
        <v>15</v>
      </c>
      <c r="O7" s="2">
        <v>3</v>
      </c>
      <c r="P7" s="1" t="s">
        <v>35</v>
      </c>
      <c r="R7" s="10"/>
    </row>
    <row r="8" spans="1:18">
      <c r="A8" s="1" t="s">
        <v>75</v>
      </c>
      <c r="B8" s="8">
        <v>45987</v>
      </c>
      <c r="C8" s="9" t="str">
        <f t="shared" si="0"/>
        <v>Nov</v>
      </c>
      <c r="D8" s="1" t="s">
        <v>76</v>
      </c>
      <c r="E8" s="1">
        <v>38</v>
      </c>
      <c r="F8" s="1" t="s">
        <v>63</v>
      </c>
      <c r="G8" s="1" t="s">
        <v>32</v>
      </c>
      <c r="H8" s="1" t="s">
        <v>19</v>
      </c>
      <c r="I8" s="1" t="s">
        <v>49</v>
      </c>
      <c r="J8" s="1" t="s">
        <v>44</v>
      </c>
      <c r="K8" s="1">
        <v>2</v>
      </c>
      <c r="L8" s="1">
        <v>700</v>
      </c>
      <c r="M8" s="1">
        <v>1400</v>
      </c>
      <c r="N8" s="1">
        <v>0</v>
      </c>
      <c r="O8" s="2">
        <v>5</v>
      </c>
      <c r="P8" s="1" t="s">
        <v>38</v>
      </c>
    </row>
    <row r="9" spans="1:18">
      <c r="A9" s="1" t="s">
        <v>77</v>
      </c>
      <c r="B9" s="8">
        <v>45732</v>
      </c>
      <c r="C9" s="9" t="str">
        <f t="shared" si="0"/>
        <v>Mar</v>
      </c>
      <c r="D9" s="1" t="s">
        <v>78</v>
      </c>
      <c r="E9" s="1">
        <v>39</v>
      </c>
      <c r="F9" s="1" t="s">
        <v>66</v>
      </c>
      <c r="G9" s="1" t="s">
        <v>29</v>
      </c>
      <c r="H9" s="1" t="s">
        <v>22</v>
      </c>
      <c r="I9" s="1" t="s">
        <v>46</v>
      </c>
      <c r="J9" s="1" t="s">
        <v>43</v>
      </c>
      <c r="K9" s="1">
        <v>4</v>
      </c>
      <c r="L9" s="1">
        <v>600</v>
      </c>
      <c r="M9" s="1">
        <v>2040</v>
      </c>
      <c r="N9" s="1">
        <v>15</v>
      </c>
      <c r="O9" s="2">
        <v>3</v>
      </c>
      <c r="P9" s="1" t="s">
        <v>38</v>
      </c>
    </row>
    <row r="10" spans="1:18">
      <c r="A10" s="1" t="s">
        <v>79</v>
      </c>
      <c r="B10" s="8">
        <v>45929</v>
      </c>
      <c r="C10" s="9" t="str">
        <f t="shared" si="0"/>
        <v>Sep</v>
      </c>
      <c r="D10" s="1" t="s">
        <v>80</v>
      </c>
      <c r="E10" s="1">
        <v>19</v>
      </c>
      <c r="F10" s="1" t="s">
        <v>66</v>
      </c>
      <c r="G10" s="1" t="s">
        <v>27</v>
      </c>
      <c r="H10" s="1" t="s">
        <v>20</v>
      </c>
      <c r="I10" s="1" t="s">
        <v>49</v>
      </c>
      <c r="J10" s="1" t="s">
        <v>40</v>
      </c>
      <c r="K10" s="1">
        <v>1</v>
      </c>
      <c r="L10" s="1">
        <v>650</v>
      </c>
      <c r="M10" s="1">
        <v>520</v>
      </c>
      <c r="N10" s="1">
        <v>20</v>
      </c>
      <c r="O10" s="2">
        <v>3</v>
      </c>
      <c r="P10" s="1" t="s">
        <v>38</v>
      </c>
    </row>
    <row r="11" spans="1:18">
      <c r="A11" s="1" t="s">
        <v>81</v>
      </c>
      <c r="B11" s="8">
        <v>45769</v>
      </c>
      <c r="C11" s="9" t="str">
        <f t="shared" si="0"/>
        <v>Apr</v>
      </c>
      <c r="D11" s="1" t="s">
        <v>82</v>
      </c>
      <c r="E11" s="1">
        <v>29</v>
      </c>
      <c r="F11" s="1" t="s">
        <v>66</v>
      </c>
      <c r="G11" s="1" t="s">
        <v>27</v>
      </c>
      <c r="H11" s="1" t="s">
        <v>21</v>
      </c>
      <c r="I11" s="1" t="s">
        <v>50</v>
      </c>
      <c r="J11" s="1" t="s">
        <v>41</v>
      </c>
      <c r="K11" s="1">
        <v>2</v>
      </c>
      <c r="L11" s="1">
        <v>750</v>
      </c>
      <c r="M11" s="1">
        <v>1500</v>
      </c>
      <c r="N11" s="1">
        <v>0</v>
      </c>
      <c r="O11" s="2">
        <v>4</v>
      </c>
      <c r="P11" s="1" t="s">
        <v>36</v>
      </c>
    </row>
    <row r="12" spans="1:18">
      <c r="A12" s="1" t="s">
        <v>83</v>
      </c>
      <c r="B12" s="8">
        <v>45718</v>
      </c>
      <c r="C12" s="9" t="str">
        <f t="shared" si="0"/>
        <v>Mar</v>
      </c>
      <c r="D12" s="1" t="s">
        <v>84</v>
      </c>
      <c r="E12" s="1">
        <v>37</v>
      </c>
      <c r="F12" s="1" t="s">
        <v>63</v>
      </c>
      <c r="G12" s="1" t="s">
        <v>31</v>
      </c>
      <c r="H12" s="1" t="s">
        <v>21</v>
      </c>
      <c r="I12" s="1" t="s">
        <v>50</v>
      </c>
      <c r="J12" s="1" t="s">
        <v>44</v>
      </c>
      <c r="K12" s="1">
        <v>4</v>
      </c>
      <c r="L12" s="1">
        <v>750</v>
      </c>
      <c r="M12" s="1">
        <v>2400</v>
      </c>
      <c r="N12" s="1">
        <v>20</v>
      </c>
      <c r="O12" s="2">
        <v>3</v>
      </c>
      <c r="P12" s="1" t="s">
        <v>35</v>
      </c>
    </row>
    <row r="13" spans="1:18">
      <c r="A13" s="1" t="s">
        <v>85</v>
      </c>
      <c r="B13" s="8">
        <v>45828</v>
      </c>
      <c r="C13" s="9" t="str">
        <f t="shared" si="0"/>
        <v>Jun</v>
      </c>
      <c r="D13" s="1" t="s">
        <v>86</v>
      </c>
      <c r="E13" s="1">
        <v>33</v>
      </c>
      <c r="F13" s="1" t="s">
        <v>63</v>
      </c>
      <c r="G13" s="1" t="s">
        <v>29</v>
      </c>
      <c r="H13" s="1" t="s">
        <v>19</v>
      </c>
      <c r="I13" s="1" t="s">
        <v>49</v>
      </c>
      <c r="J13" s="1" t="s">
        <v>44</v>
      </c>
      <c r="K13" s="1">
        <v>4</v>
      </c>
      <c r="L13" s="1">
        <v>700</v>
      </c>
      <c r="M13" s="1">
        <v>2800</v>
      </c>
      <c r="N13" s="1">
        <v>0</v>
      </c>
      <c r="O13" s="2">
        <v>4</v>
      </c>
      <c r="P13" s="1" t="s">
        <v>36</v>
      </c>
    </row>
    <row r="14" spans="1:18">
      <c r="A14" s="1" t="s">
        <v>87</v>
      </c>
      <c r="B14" s="8">
        <v>45767</v>
      </c>
      <c r="C14" s="9" t="str">
        <f t="shared" si="0"/>
        <v>Apr</v>
      </c>
      <c r="D14" s="1" t="s">
        <v>88</v>
      </c>
      <c r="E14" s="1">
        <v>33</v>
      </c>
      <c r="F14" s="1" t="s">
        <v>66</v>
      </c>
      <c r="G14" s="1" t="s">
        <v>33</v>
      </c>
      <c r="H14" s="1" t="s">
        <v>23</v>
      </c>
      <c r="I14" s="1" t="s">
        <v>49</v>
      </c>
      <c r="J14" s="1" t="s">
        <v>43</v>
      </c>
      <c r="K14" s="1">
        <v>4</v>
      </c>
      <c r="L14" s="1">
        <v>800</v>
      </c>
      <c r="M14" s="1">
        <v>2560</v>
      </c>
      <c r="N14" s="1">
        <v>20</v>
      </c>
      <c r="O14" s="2">
        <v>5</v>
      </c>
      <c r="P14" s="1" t="s">
        <v>35</v>
      </c>
    </row>
    <row r="15" spans="1:18">
      <c r="A15" s="1" t="s">
        <v>89</v>
      </c>
      <c r="B15" s="8">
        <v>45867</v>
      </c>
      <c r="C15" s="9" t="str">
        <f t="shared" si="0"/>
        <v>Jul</v>
      </c>
      <c r="D15" s="1" t="s">
        <v>90</v>
      </c>
      <c r="E15" s="1">
        <v>35</v>
      </c>
      <c r="F15" s="1" t="s">
        <v>66</v>
      </c>
      <c r="G15" s="1" t="s">
        <v>27</v>
      </c>
      <c r="H15" s="1" t="s">
        <v>20</v>
      </c>
      <c r="I15" s="1" t="s">
        <v>49</v>
      </c>
      <c r="J15" s="1" t="s">
        <v>41</v>
      </c>
      <c r="K15" s="1">
        <v>3</v>
      </c>
      <c r="L15" s="1">
        <v>650</v>
      </c>
      <c r="M15" s="1">
        <v>1657.5</v>
      </c>
      <c r="N15" s="1">
        <v>15</v>
      </c>
      <c r="O15" s="2">
        <v>5</v>
      </c>
      <c r="P15" s="1" t="s">
        <v>37</v>
      </c>
    </row>
    <row r="16" spans="1:18">
      <c r="A16" s="1" t="s">
        <v>91</v>
      </c>
      <c r="B16" s="8">
        <v>45931</v>
      </c>
      <c r="C16" s="9" t="str">
        <f t="shared" si="0"/>
        <v>Oct</v>
      </c>
      <c r="D16" s="1" t="s">
        <v>92</v>
      </c>
      <c r="E16" s="1">
        <v>35</v>
      </c>
      <c r="F16" s="1" t="s">
        <v>66</v>
      </c>
      <c r="G16" s="1" t="s">
        <v>31</v>
      </c>
      <c r="H16" s="1" t="s">
        <v>18</v>
      </c>
      <c r="I16" s="1" t="s">
        <v>47</v>
      </c>
      <c r="J16" s="1" t="s">
        <v>41</v>
      </c>
      <c r="K16" s="1">
        <v>3</v>
      </c>
      <c r="L16" s="1">
        <v>850</v>
      </c>
      <c r="M16" s="1">
        <v>2295</v>
      </c>
      <c r="N16" s="1">
        <v>10</v>
      </c>
      <c r="O16" s="2">
        <v>4</v>
      </c>
      <c r="P16" s="1" t="s">
        <v>36</v>
      </c>
    </row>
    <row r="17" spans="1:16">
      <c r="A17" s="1" t="s">
        <v>93</v>
      </c>
      <c r="B17" s="8">
        <v>45993</v>
      </c>
      <c r="C17" s="9" t="str">
        <f t="shared" si="0"/>
        <v>Dec</v>
      </c>
      <c r="D17" s="1" t="s">
        <v>94</v>
      </c>
      <c r="E17" s="1">
        <v>26</v>
      </c>
      <c r="F17" s="1" t="s">
        <v>66</v>
      </c>
      <c r="G17" s="1" t="s">
        <v>26</v>
      </c>
      <c r="H17" s="1" t="s">
        <v>18</v>
      </c>
      <c r="I17" s="1" t="s">
        <v>47</v>
      </c>
      <c r="J17" s="1" t="s">
        <v>43</v>
      </c>
      <c r="K17" s="1">
        <v>3</v>
      </c>
      <c r="L17" s="1">
        <v>850</v>
      </c>
      <c r="M17" s="1">
        <v>2040</v>
      </c>
      <c r="N17" s="1">
        <v>20</v>
      </c>
      <c r="O17" s="2">
        <v>4</v>
      </c>
      <c r="P17" s="1" t="s">
        <v>35</v>
      </c>
    </row>
    <row r="18" spans="1:16">
      <c r="A18" s="1" t="s">
        <v>95</v>
      </c>
      <c r="B18" s="8">
        <v>45981</v>
      </c>
      <c r="C18" s="9" t="str">
        <f t="shared" si="0"/>
        <v>Nov</v>
      </c>
      <c r="D18" s="1" t="s">
        <v>96</v>
      </c>
      <c r="E18" s="1">
        <v>37</v>
      </c>
      <c r="F18" s="1" t="s">
        <v>63</v>
      </c>
      <c r="G18" s="1" t="s">
        <v>32</v>
      </c>
      <c r="H18" s="1" t="s">
        <v>24</v>
      </c>
      <c r="I18" s="1" t="s">
        <v>49</v>
      </c>
      <c r="J18" s="1" t="s">
        <v>42</v>
      </c>
      <c r="K18" s="1">
        <v>2</v>
      </c>
      <c r="L18" s="1">
        <v>550</v>
      </c>
      <c r="M18" s="1">
        <v>880</v>
      </c>
      <c r="N18" s="1">
        <v>20</v>
      </c>
      <c r="O18" s="2">
        <v>3</v>
      </c>
      <c r="P18" s="1" t="s">
        <v>36</v>
      </c>
    </row>
    <row r="19" spans="1:16">
      <c r="A19" s="1" t="s">
        <v>97</v>
      </c>
      <c r="B19" s="8">
        <v>45970</v>
      </c>
      <c r="C19" s="9" t="str">
        <f t="shared" si="0"/>
        <v>Nov</v>
      </c>
      <c r="D19" s="1" t="s">
        <v>62</v>
      </c>
      <c r="E19" s="1">
        <v>33</v>
      </c>
      <c r="F19" s="1" t="s">
        <v>66</v>
      </c>
      <c r="G19" s="1" t="s">
        <v>27</v>
      </c>
      <c r="H19" s="1" t="s">
        <v>18</v>
      </c>
      <c r="I19" s="1" t="s">
        <v>47</v>
      </c>
      <c r="J19" s="1" t="s">
        <v>41</v>
      </c>
      <c r="K19" s="1">
        <v>3</v>
      </c>
      <c r="L19" s="1">
        <v>850</v>
      </c>
      <c r="M19" s="1">
        <v>2422.5</v>
      </c>
      <c r="N19" s="1">
        <v>5</v>
      </c>
      <c r="O19" s="2">
        <v>4</v>
      </c>
      <c r="P19" s="1" t="s">
        <v>37</v>
      </c>
    </row>
    <row r="20" spans="1:16">
      <c r="A20" s="1" t="s">
        <v>98</v>
      </c>
      <c r="B20" s="8">
        <v>45673</v>
      </c>
      <c r="C20" s="9" t="str">
        <f t="shared" si="0"/>
        <v>Jan</v>
      </c>
      <c r="D20" s="1" t="s">
        <v>99</v>
      </c>
      <c r="E20" s="1">
        <v>43</v>
      </c>
      <c r="F20" s="1" t="s">
        <v>66</v>
      </c>
      <c r="G20" s="1" t="s">
        <v>28</v>
      </c>
      <c r="H20" s="1" t="s">
        <v>18</v>
      </c>
      <c r="I20" s="1" t="s">
        <v>47</v>
      </c>
      <c r="J20" s="1" t="s">
        <v>44</v>
      </c>
      <c r="K20" s="1">
        <v>1</v>
      </c>
      <c r="L20" s="1">
        <v>850</v>
      </c>
      <c r="M20" s="1">
        <v>680</v>
      </c>
      <c r="N20" s="1">
        <v>20</v>
      </c>
      <c r="O20" s="2">
        <v>5</v>
      </c>
      <c r="P20" s="1" t="s">
        <v>38</v>
      </c>
    </row>
    <row r="21" spans="1:16">
      <c r="A21" s="1" t="s">
        <v>100</v>
      </c>
      <c r="B21" s="8">
        <v>45809</v>
      </c>
      <c r="C21" s="9" t="str">
        <f t="shared" si="0"/>
        <v>Jun</v>
      </c>
      <c r="D21" s="1" t="s">
        <v>101</v>
      </c>
      <c r="E21" s="1">
        <v>19</v>
      </c>
      <c r="F21" s="1" t="s">
        <v>66</v>
      </c>
      <c r="G21" s="1" t="s">
        <v>28</v>
      </c>
      <c r="H21" s="1" t="s">
        <v>21</v>
      </c>
      <c r="I21" s="1" t="s">
        <v>50</v>
      </c>
      <c r="J21" s="1" t="s">
        <v>42</v>
      </c>
      <c r="K21" s="1">
        <v>4</v>
      </c>
      <c r="L21" s="1">
        <v>750</v>
      </c>
      <c r="M21" s="1">
        <v>3000</v>
      </c>
      <c r="N21" s="1">
        <v>0</v>
      </c>
      <c r="O21" s="2">
        <v>5</v>
      </c>
      <c r="P21" s="1" t="s">
        <v>36</v>
      </c>
    </row>
    <row r="22" spans="1:16">
      <c r="A22" s="1" t="s">
        <v>102</v>
      </c>
      <c r="B22" s="8">
        <v>45680</v>
      </c>
      <c r="C22" s="9" t="str">
        <f t="shared" si="0"/>
        <v>Jan</v>
      </c>
      <c r="D22" s="1" t="s">
        <v>103</v>
      </c>
      <c r="E22" s="1">
        <v>26</v>
      </c>
      <c r="F22" s="1" t="s">
        <v>66</v>
      </c>
      <c r="G22" s="1" t="s">
        <v>29</v>
      </c>
      <c r="H22" s="1" t="s">
        <v>21</v>
      </c>
      <c r="I22" s="1" t="s">
        <v>50</v>
      </c>
      <c r="J22" s="1" t="s">
        <v>40</v>
      </c>
      <c r="K22" s="1">
        <v>4</v>
      </c>
      <c r="L22" s="1">
        <v>750</v>
      </c>
      <c r="M22" s="1">
        <v>2700</v>
      </c>
      <c r="N22" s="1">
        <v>10</v>
      </c>
      <c r="O22" s="2">
        <v>3</v>
      </c>
      <c r="P22" s="1" t="s">
        <v>36</v>
      </c>
    </row>
    <row r="23" spans="1:16">
      <c r="A23" s="1" t="s">
        <v>104</v>
      </c>
      <c r="B23" s="8">
        <v>45971</v>
      </c>
      <c r="C23" s="9" t="str">
        <f t="shared" si="0"/>
        <v>Nov</v>
      </c>
      <c r="D23" s="1" t="s">
        <v>105</v>
      </c>
      <c r="E23" s="1">
        <v>29</v>
      </c>
      <c r="F23" s="1" t="s">
        <v>66</v>
      </c>
      <c r="G23" s="1" t="s">
        <v>31</v>
      </c>
      <c r="H23" s="1" t="s">
        <v>17</v>
      </c>
      <c r="I23" s="1" t="s">
        <v>48</v>
      </c>
      <c r="J23" s="1" t="s">
        <v>42</v>
      </c>
      <c r="K23" s="1">
        <v>3</v>
      </c>
      <c r="L23" s="1">
        <v>900</v>
      </c>
      <c r="M23" s="1">
        <v>2160</v>
      </c>
      <c r="N23" s="1">
        <v>20</v>
      </c>
      <c r="O23" s="2">
        <v>3</v>
      </c>
      <c r="P23" s="1" t="s">
        <v>38</v>
      </c>
    </row>
    <row r="24" spans="1:16">
      <c r="A24" s="1" t="s">
        <v>106</v>
      </c>
      <c r="B24" s="8">
        <v>45702</v>
      </c>
      <c r="C24" s="9" t="str">
        <f t="shared" si="0"/>
        <v>Feb</v>
      </c>
      <c r="D24" s="1" t="s">
        <v>103</v>
      </c>
      <c r="E24" s="1">
        <v>23</v>
      </c>
      <c r="F24" s="1" t="s">
        <v>66</v>
      </c>
      <c r="G24" s="1" t="s">
        <v>31</v>
      </c>
      <c r="H24" s="1" t="s">
        <v>20</v>
      </c>
      <c r="I24" s="1" t="s">
        <v>49</v>
      </c>
      <c r="J24" s="1" t="s">
        <v>44</v>
      </c>
      <c r="K24" s="1">
        <v>2</v>
      </c>
      <c r="L24" s="1">
        <v>650</v>
      </c>
      <c r="M24" s="1">
        <v>1105</v>
      </c>
      <c r="N24" s="1">
        <v>15</v>
      </c>
      <c r="O24" s="2">
        <v>3</v>
      </c>
      <c r="P24" s="1" t="s">
        <v>36</v>
      </c>
    </row>
    <row r="25" spans="1:16">
      <c r="A25" s="1" t="s">
        <v>107</v>
      </c>
      <c r="B25" s="8">
        <v>45756</v>
      </c>
      <c r="C25" s="9" t="str">
        <f t="shared" si="0"/>
        <v>Apr</v>
      </c>
      <c r="D25" s="1" t="s">
        <v>108</v>
      </c>
      <c r="E25" s="1">
        <v>34</v>
      </c>
      <c r="F25" s="1" t="s">
        <v>63</v>
      </c>
      <c r="G25" s="1" t="s">
        <v>28</v>
      </c>
      <c r="H25" s="1" t="s">
        <v>18</v>
      </c>
      <c r="I25" s="1" t="s">
        <v>47</v>
      </c>
      <c r="J25" s="1" t="s">
        <v>41</v>
      </c>
      <c r="K25" s="1">
        <v>1</v>
      </c>
      <c r="L25" s="1">
        <v>850</v>
      </c>
      <c r="M25" s="1">
        <v>850</v>
      </c>
      <c r="N25" s="1">
        <v>0</v>
      </c>
      <c r="O25" s="2">
        <v>4</v>
      </c>
      <c r="P25" s="1" t="s">
        <v>38</v>
      </c>
    </row>
    <row r="26" spans="1:16">
      <c r="A26" s="1" t="s">
        <v>109</v>
      </c>
      <c r="B26" s="8">
        <v>45912</v>
      </c>
      <c r="C26" s="9" t="str">
        <f t="shared" si="0"/>
        <v>Sep</v>
      </c>
      <c r="D26" s="1" t="s">
        <v>110</v>
      </c>
      <c r="E26" s="1">
        <v>22</v>
      </c>
      <c r="F26" s="1" t="s">
        <v>66</v>
      </c>
      <c r="G26" s="1" t="s">
        <v>29</v>
      </c>
      <c r="H26" s="1" t="s">
        <v>18</v>
      </c>
      <c r="I26" s="1" t="s">
        <v>47</v>
      </c>
      <c r="J26" s="1" t="s">
        <v>44</v>
      </c>
      <c r="K26" s="1">
        <v>1</v>
      </c>
      <c r="L26" s="1">
        <v>850</v>
      </c>
      <c r="M26" s="1">
        <v>680</v>
      </c>
      <c r="N26" s="1">
        <v>20</v>
      </c>
      <c r="O26" s="2">
        <v>4</v>
      </c>
      <c r="P26" s="1" t="s">
        <v>36</v>
      </c>
    </row>
    <row r="27" spans="1:16">
      <c r="A27" s="1" t="s">
        <v>111</v>
      </c>
      <c r="B27" s="8">
        <v>45927</v>
      </c>
      <c r="C27" s="9" t="str">
        <f t="shared" si="0"/>
        <v>Sep</v>
      </c>
      <c r="D27" s="1" t="s">
        <v>112</v>
      </c>
      <c r="E27" s="1">
        <v>26</v>
      </c>
      <c r="F27" s="1" t="s">
        <v>66</v>
      </c>
      <c r="G27" s="1" t="s">
        <v>31</v>
      </c>
      <c r="H27" s="1" t="s">
        <v>20</v>
      </c>
      <c r="I27" s="1" t="s">
        <v>49</v>
      </c>
      <c r="J27" s="1" t="s">
        <v>41</v>
      </c>
      <c r="K27" s="1">
        <v>2</v>
      </c>
      <c r="L27" s="1">
        <v>650</v>
      </c>
      <c r="M27" s="1">
        <v>1170</v>
      </c>
      <c r="N27" s="1">
        <v>10</v>
      </c>
      <c r="O27" s="2">
        <v>3</v>
      </c>
      <c r="P27" s="1" t="s">
        <v>35</v>
      </c>
    </row>
    <row r="28" spans="1:16">
      <c r="A28" s="1" t="s">
        <v>113</v>
      </c>
      <c r="B28" s="8">
        <v>45789</v>
      </c>
      <c r="C28" s="9" t="str">
        <f t="shared" si="0"/>
        <v>May</v>
      </c>
      <c r="D28" s="1" t="s">
        <v>114</v>
      </c>
      <c r="E28" s="1">
        <v>27</v>
      </c>
      <c r="F28" s="1" t="s">
        <v>63</v>
      </c>
      <c r="G28" s="1" t="s">
        <v>28</v>
      </c>
      <c r="H28" s="1" t="s">
        <v>21</v>
      </c>
      <c r="I28" s="1" t="s">
        <v>50</v>
      </c>
      <c r="J28" s="1" t="s">
        <v>44</v>
      </c>
      <c r="K28" s="1">
        <v>3</v>
      </c>
      <c r="L28" s="1">
        <v>750</v>
      </c>
      <c r="M28" s="1">
        <v>2137.5</v>
      </c>
      <c r="N28" s="1">
        <v>5</v>
      </c>
      <c r="O28" s="2">
        <v>4</v>
      </c>
      <c r="P28" s="1" t="s">
        <v>36</v>
      </c>
    </row>
    <row r="29" spans="1:16">
      <c r="A29" s="1" t="s">
        <v>115</v>
      </c>
      <c r="B29" s="8">
        <v>45947</v>
      </c>
      <c r="C29" s="9" t="str">
        <f t="shared" si="0"/>
        <v>Oct</v>
      </c>
      <c r="D29" s="1" t="s">
        <v>96</v>
      </c>
      <c r="E29" s="1">
        <v>31</v>
      </c>
      <c r="F29" s="1" t="s">
        <v>63</v>
      </c>
      <c r="G29" s="1" t="s">
        <v>33</v>
      </c>
      <c r="H29" s="1" t="s">
        <v>17</v>
      </c>
      <c r="I29" s="1" t="s">
        <v>48</v>
      </c>
      <c r="J29" s="1" t="s">
        <v>43</v>
      </c>
      <c r="K29" s="1">
        <v>3</v>
      </c>
      <c r="L29" s="1">
        <v>900</v>
      </c>
      <c r="M29" s="1">
        <v>2700</v>
      </c>
      <c r="N29" s="1">
        <v>0</v>
      </c>
      <c r="O29" s="2">
        <v>3</v>
      </c>
      <c r="P29" s="1" t="s">
        <v>35</v>
      </c>
    </row>
    <row r="30" spans="1:16">
      <c r="A30" s="1" t="s">
        <v>116</v>
      </c>
      <c r="B30" s="8">
        <v>45850</v>
      </c>
      <c r="C30" s="9" t="str">
        <f t="shared" si="0"/>
        <v>Jul</v>
      </c>
      <c r="D30" s="1" t="s">
        <v>117</v>
      </c>
      <c r="E30" s="1">
        <v>42</v>
      </c>
      <c r="F30" s="1" t="s">
        <v>66</v>
      </c>
      <c r="G30" s="1" t="s">
        <v>33</v>
      </c>
      <c r="H30" s="1" t="s">
        <v>21</v>
      </c>
      <c r="I30" s="1" t="s">
        <v>50</v>
      </c>
      <c r="J30" s="1" t="s">
        <v>42</v>
      </c>
      <c r="K30" s="1">
        <v>1</v>
      </c>
      <c r="L30" s="1">
        <v>750</v>
      </c>
      <c r="M30" s="1">
        <v>675</v>
      </c>
      <c r="N30" s="1">
        <v>10</v>
      </c>
      <c r="O30" s="2">
        <v>3</v>
      </c>
      <c r="P30" s="1" t="s">
        <v>35</v>
      </c>
    </row>
    <row r="31" spans="1:16">
      <c r="A31" s="1" t="s">
        <v>118</v>
      </c>
      <c r="B31" s="8">
        <v>45687</v>
      </c>
      <c r="C31" s="9" t="str">
        <f t="shared" si="0"/>
        <v>Jan</v>
      </c>
      <c r="D31" s="1" t="s">
        <v>119</v>
      </c>
      <c r="E31" s="1">
        <v>28</v>
      </c>
      <c r="F31" s="1" t="s">
        <v>66</v>
      </c>
      <c r="G31" s="1" t="s">
        <v>30</v>
      </c>
      <c r="H31" s="1" t="s">
        <v>23</v>
      </c>
      <c r="I31" s="1" t="s">
        <v>49</v>
      </c>
      <c r="J31" s="1" t="s">
        <v>42</v>
      </c>
      <c r="K31" s="1">
        <v>2</v>
      </c>
      <c r="L31" s="1">
        <v>800</v>
      </c>
      <c r="M31" s="1">
        <v>1280</v>
      </c>
      <c r="N31" s="1">
        <v>20</v>
      </c>
      <c r="O31" s="2">
        <v>4</v>
      </c>
      <c r="P31" s="1" t="s">
        <v>35</v>
      </c>
    </row>
    <row r="32" spans="1:16">
      <c r="A32" s="1" t="s">
        <v>120</v>
      </c>
      <c r="B32" s="8">
        <v>45827</v>
      </c>
      <c r="C32" s="9" t="str">
        <f t="shared" si="0"/>
        <v>Jun</v>
      </c>
      <c r="D32" s="1" t="s">
        <v>72</v>
      </c>
      <c r="E32" s="1">
        <v>41</v>
      </c>
      <c r="F32" s="1" t="s">
        <v>66</v>
      </c>
      <c r="G32" s="1" t="s">
        <v>27</v>
      </c>
      <c r="H32" s="1" t="s">
        <v>22</v>
      </c>
      <c r="I32" s="1" t="s">
        <v>46</v>
      </c>
      <c r="J32" s="1" t="s">
        <v>41</v>
      </c>
      <c r="K32" s="1">
        <v>1</v>
      </c>
      <c r="L32" s="1">
        <v>600</v>
      </c>
      <c r="M32" s="1">
        <v>540</v>
      </c>
      <c r="N32" s="1">
        <v>10</v>
      </c>
      <c r="O32" s="2">
        <v>5</v>
      </c>
      <c r="P32" s="1" t="s">
        <v>35</v>
      </c>
    </row>
    <row r="33" spans="1:16">
      <c r="A33" s="1" t="s">
        <v>121</v>
      </c>
      <c r="B33" s="8">
        <v>45827</v>
      </c>
      <c r="C33" s="9" t="str">
        <f t="shared" si="0"/>
        <v>Jun</v>
      </c>
      <c r="D33" s="1" t="s">
        <v>122</v>
      </c>
      <c r="E33" s="1">
        <v>33</v>
      </c>
      <c r="F33" s="1" t="s">
        <v>66</v>
      </c>
      <c r="G33" s="1" t="s">
        <v>31</v>
      </c>
      <c r="H33" s="1" t="s">
        <v>17</v>
      </c>
      <c r="I33" s="1" t="s">
        <v>48</v>
      </c>
      <c r="J33" s="1" t="s">
        <v>42</v>
      </c>
      <c r="K33" s="1">
        <v>1</v>
      </c>
      <c r="L33" s="1">
        <v>900</v>
      </c>
      <c r="M33" s="1">
        <v>810</v>
      </c>
      <c r="N33" s="1">
        <v>10</v>
      </c>
      <c r="O33" s="2">
        <v>4</v>
      </c>
      <c r="P33" s="1" t="s">
        <v>37</v>
      </c>
    </row>
    <row r="34" spans="1:16">
      <c r="A34" s="1" t="s">
        <v>123</v>
      </c>
      <c r="B34" s="8">
        <v>45796</v>
      </c>
      <c r="C34" s="9" t="str">
        <f t="shared" si="0"/>
        <v>May</v>
      </c>
      <c r="D34" s="1" t="s">
        <v>124</v>
      </c>
      <c r="E34" s="1">
        <v>25</v>
      </c>
      <c r="F34" s="1" t="s">
        <v>66</v>
      </c>
      <c r="G34" s="1" t="s">
        <v>31</v>
      </c>
      <c r="H34" s="1" t="s">
        <v>21</v>
      </c>
      <c r="I34" s="1" t="s">
        <v>50</v>
      </c>
      <c r="J34" s="1" t="s">
        <v>44</v>
      </c>
      <c r="K34" s="1">
        <v>4</v>
      </c>
      <c r="L34" s="1">
        <v>750</v>
      </c>
      <c r="M34" s="1">
        <v>2400</v>
      </c>
      <c r="N34" s="1">
        <v>20</v>
      </c>
      <c r="O34" s="2">
        <v>5</v>
      </c>
      <c r="P34" s="1" t="s">
        <v>38</v>
      </c>
    </row>
    <row r="35" spans="1:16">
      <c r="A35" s="1" t="s">
        <v>125</v>
      </c>
      <c r="B35" s="8">
        <v>45661</v>
      </c>
      <c r="C35" s="9" t="str">
        <f t="shared" si="0"/>
        <v>Jan</v>
      </c>
      <c r="D35" s="1" t="s">
        <v>126</v>
      </c>
      <c r="E35" s="1">
        <v>43</v>
      </c>
      <c r="F35" s="1" t="s">
        <v>63</v>
      </c>
      <c r="G35" s="1" t="s">
        <v>26</v>
      </c>
      <c r="H35" s="1" t="s">
        <v>22</v>
      </c>
      <c r="I35" s="1" t="s">
        <v>46</v>
      </c>
      <c r="J35" s="1" t="s">
        <v>44</v>
      </c>
      <c r="K35" s="1">
        <v>4</v>
      </c>
      <c r="L35" s="1">
        <v>600</v>
      </c>
      <c r="M35" s="1">
        <v>2280</v>
      </c>
      <c r="N35" s="1">
        <v>5</v>
      </c>
      <c r="O35" s="2">
        <v>4</v>
      </c>
      <c r="P35" s="1" t="s">
        <v>36</v>
      </c>
    </row>
    <row r="36" spans="1:16">
      <c r="A36" s="1" t="s">
        <v>127</v>
      </c>
      <c r="B36" s="8">
        <v>45685</v>
      </c>
      <c r="C36" s="9" t="str">
        <f t="shared" si="0"/>
        <v>Jan</v>
      </c>
      <c r="D36" s="1" t="s">
        <v>80</v>
      </c>
      <c r="E36" s="1">
        <v>35</v>
      </c>
      <c r="F36" s="1" t="s">
        <v>63</v>
      </c>
      <c r="G36" s="1" t="s">
        <v>29</v>
      </c>
      <c r="H36" s="1" t="s">
        <v>24</v>
      </c>
      <c r="I36" s="1" t="s">
        <v>49</v>
      </c>
      <c r="J36" s="1" t="s">
        <v>41</v>
      </c>
      <c r="K36" s="1">
        <v>2</v>
      </c>
      <c r="L36" s="1">
        <v>550</v>
      </c>
      <c r="M36" s="1">
        <v>1045</v>
      </c>
      <c r="N36" s="1">
        <v>5</v>
      </c>
      <c r="O36" s="2">
        <v>3</v>
      </c>
      <c r="P36" s="1" t="s">
        <v>35</v>
      </c>
    </row>
    <row r="37" spans="1:16">
      <c r="A37" s="1" t="s">
        <v>128</v>
      </c>
      <c r="B37" s="8">
        <v>45727</v>
      </c>
      <c r="C37" s="9" t="str">
        <f t="shared" si="0"/>
        <v>Mar</v>
      </c>
      <c r="D37" s="1" t="s">
        <v>129</v>
      </c>
      <c r="E37" s="1">
        <v>21</v>
      </c>
      <c r="F37" s="1" t="s">
        <v>66</v>
      </c>
      <c r="G37" s="1" t="s">
        <v>33</v>
      </c>
      <c r="H37" s="1" t="s">
        <v>17</v>
      </c>
      <c r="I37" s="1" t="s">
        <v>48</v>
      </c>
      <c r="J37" s="1" t="s">
        <v>40</v>
      </c>
      <c r="K37" s="1">
        <v>4</v>
      </c>
      <c r="L37" s="1">
        <v>900</v>
      </c>
      <c r="M37" s="1">
        <v>2880</v>
      </c>
      <c r="N37" s="1">
        <v>20</v>
      </c>
      <c r="O37" s="2">
        <v>4</v>
      </c>
      <c r="P37" s="1" t="s">
        <v>38</v>
      </c>
    </row>
    <row r="38" spans="1:16">
      <c r="A38" s="1" t="s">
        <v>130</v>
      </c>
      <c r="B38" s="8">
        <v>45765</v>
      </c>
      <c r="C38" s="9" t="str">
        <f t="shared" si="0"/>
        <v>Apr</v>
      </c>
      <c r="D38" s="1" t="s">
        <v>124</v>
      </c>
      <c r="E38" s="1">
        <v>42</v>
      </c>
      <c r="F38" s="1" t="s">
        <v>66</v>
      </c>
      <c r="G38" s="1" t="s">
        <v>28</v>
      </c>
      <c r="H38" s="1" t="s">
        <v>23</v>
      </c>
      <c r="I38" s="1" t="s">
        <v>49</v>
      </c>
      <c r="J38" s="1" t="s">
        <v>41</v>
      </c>
      <c r="K38" s="1">
        <v>2</v>
      </c>
      <c r="L38" s="1">
        <v>800</v>
      </c>
      <c r="M38" s="1">
        <v>1520</v>
      </c>
      <c r="N38" s="1">
        <v>5</v>
      </c>
      <c r="O38" s="2">
        <v>4</v>
      </c>
      <c r="P38" s="1" t="s">
        <v>36</v>
      </c>
    </row>
    <row r="39" spans="1:16">
      <c r="A39" s="1" t="s">
        <v>131</v>
      </c>
      <c r="B39" s="8">
        <v>45903</v>
      </c>
      <c r="C39" s="9" t="str">
        <f t="shared" si="0"/>
        <v>Sep</v>
      </c>
      <c r="D39" s="1" t="s">
        <v>132</v>
      </c>
      <c r="E39" s="1">
        <v>41</v>
      </c>
      <c r="F39" s="1" t="s">
        <v>66</v>
      </c>
      <c r="G39" s="1" t="s">
        <v>31</v>
      </c>
      <c r="H39" s="1" t="s">
        <v>20</v>
      </c>
      <c r="I39" s="1" t="s">
        <v>49</v>
      </c>
      <c r="J39" s="1" t="s">
        <v>44</v>
      </c>
      <c r="K39" s="1">
        <v>3</v>
      </c>
      <c r="L39" s="1">
        <v>650</v>
      </c>
      <c r="M39" s="1">
        <v>1560</v>
      </c>
      <c r="N39" s="1">
        <v>20</v>
      </c>
      <c r="O39" s="2">
        <v>4</v>
      </c>
      <c r="P39" s="1" t="s">
        <v>35</v>
      </c>
    </row>
    <row r="40" spans="1:16">
      <c r="A40" s="1" t="s">
        <v>133</v>
      </c>
      <c r="B40" s="8">
        <v>45911</v>
      </c>
      <c r="C40" s="9" t="str">
        <f t="shared" si="0"/>
        <v>Sep</v>
      </c>
      <c r="D40" s="1" t="s">
        <v>134</v>
      </c>
      <c r="E40" s="1">
        <v>27</v>
      </c>
      <c r="F40" s="1" t="s">
        <v>66</v>
      </c>
      <c r="G40" s="1" t="s">
        <v>27</v>
      </c>
      <c r="H40" s="1" t="s">
        <v>21</v>
      </c>
      <c r="I40" s="1" t="s">
        <v>50</v>
      </c>
      <c r="J40" s="1" t="s">
        <v>41</v>
      </c>
      <c r="K40" s="1">
        <v>1</v>
      </c>
      <c r="L40" s="1">
        <v>750</v>
      </c>
      <c r="M40" s="1">
        <v>675</v>
      </c>
      <c r="N40" s="1">
        <v>10</v>
      </c>
      <c r="O40" s="2">
        <v>4</v>
      </c>
      <c r="P40" s="1" t="s">
        <v>36</v>
      </c>
    </row>
    <row r="41" spans="1:16">
      <c r="A41" s="1" t="s">
        <v>135</v>
      </c>
      <c r="B41" s="8">
        <v>46016</v>
      </c>
      <c r="C41" s="9" t="str">
        <f t="shared" si="0"/>
        <v>Dec</v>
      </c>
      <c r="D41" s="1" t="s">
        <v>136</v>
      </c>
      <c r="E41" s="1">
        <v>22</v>
      </c>
      <c r="F41" s="1" t="s">
        <v>63</v>
      </c>
      <c r="G41" s="1" t="s">
        <v>33</v>
      </c>
      <c r="H41" s="1" t="s">
        <v>18</v>
      </c>
      <c r="I41" s="1" t="s">
        <v>47</v>
      </c>
      <c r="J41" s="1" t="s">
        <v>43</v>
      </c>
      <c r="K41" s="1">
        <v>1</v>
      </c>
      <c r="L41" s="1">
        <v>850</v>
      </c>
      <c r="M41" s="1">
        <v>722.5</v>
      </c>
      <c r="N41" s="1">
        <v>15</v>
      </c>
      <c r="O41" s="2">
        <v>4</v>
      </c>
      <c r="P41" s="1" t="s">
        <v>36</v>
      </c>
    </row>
    <row r="42" spans="1:16">
      <c r="A42" s="1" t="s">
        <v>137</v>
      </c>
      <c r="B42" s="8">
        <v>45953</v>
      </c>
      <c r="C42" s="9" t="str">
        <f t="shared" si="0"/>
        <v>Oct</v>
      </c>
      <c r="D42" s="1" t="s">
        <v>138</v>
      </c>
      <c r="E42" s="1">
        <v>40</v>
      </c>
      <c r="F42" s="1" t="s">
        <v>66</v>
      </c>
      <c r="G42" s="1" t="s">
        <v>32</v>
      </c>
      <c r="H42" s="1" t="s">
        <v>19</v>
      </c>
      <c r="I42" s="1" t="s">
        <v>49</v>
      </c>
      <c r="J42" s="1" t="s">
        <v>44</v>
      </c>
      <c r="K42" s="1">
        <v>2</v>
      </c>
      <c r="L42" s="1">
        <v>700</v>
      </c>
      <c r="M42" s="1">
        <v>1260</v>
      </c>
      <c r="N42" s="1">
        <v>10</v>
      </c>
      <c r="O42" s="2">
        <v>3</v>
      </c>
      <c r="P42" s="1" t="s">
        <v>38</v>
      </c>
    </row>
    <row r="43" spans="1:16">
      <c r="A43" s="1" t="s">
        <v>139</v>
      </c>
      <c r="B43" s="8">
        <v>45771</v>
      </c>
      <c r="C43" s="9" t="str">
        <f t="shared" si="0"/>
        <v>Apr</v>
      </c>
      <c r="D43" s="1" t="s">
        <v>140</v>
      </c>
      <c r="E43" s="1">
        <v>19</v>
      </c>
      <c r="F43" s="1" t="s">
        <v>66</v>
      </c>
      <c r="G43" s="1" t="s">
        <v>26</v>
      </c>
      <c r="H43" s="1" t="s">
        <v>22</v>
      </c>
      <c r="I43" s="1" t="s">
        <v>46</v>
      </c>
      <c r="J43" s="1" t="s">
        <v>40</v>
      </c>
      <c r="K43" s="1">
        <v>4</v>
      </c>
      <c r="L43" s="1">
        <v>600</v>
      </c>
      <c r="M43" s="1">
        <v>2160</v>
      </c>
      <c r="N43" s="1">
        <v>10</v>
      </c>
      <c r="O43" s="2">
        <v>4</v>
      </c>
      <c r="P43" s="1" t="s">
        <v>35</v>
      </c>
    </row>
    <row r="44" spans="1:16">
      <c r="A44" s="1" t="s">
        <v>141</v>
      </c>
      <c r="B44" s="8">
        <v>45686</v>
      </c>
      <c r="C44" s="9" t="str">
        <f t="shared" si="0"/>
        <v>Jan</v>
      </c>
      <c r="D44" s="1" t="s">
        <v>142</v>
      </c>
      <c r="E44" s="1">
        <v>25</v>
      </c>
      <c r="F44" s="1" t="s">
        <v>66</v>
      </c>
      <c r="G44" s="1" t="s">
        <v>26</v>
      </c>
      <c r="H44" s="1" t="s">
        <v>20</v>
      </c>
      <c r="I44" s="1" t="s">
        <v>49</v>
      </c>
      <c r="J44" s="1" t="s">
        <v>40</v>
      </c>
      <c r="K44" s="1">
        <v>1</v>
      </c>
      <c r="L44" s="1">
        <v>650</v>
      </c>
      <c r="M44" s="1">
        <v>585</v>
      </c>
      <c r="N44" s="1">
        <v>10</v>
      </c>
      <c r="O44" s="2">
        <v>5</v>
      </c>
      <c r="P44" s="1" t="s">
        <v>37</v>
      </c>
    </row>
    <row r="45" spans="1:16">
      <c r="A45" s="1" t="s">
        <v>143</v>
      </c>
      <c r="B45" s="8">
        <v>45882</v>
      </c>
      <c r="C45" s="9" t="str">
        <f t="shared" si="0"/>
        <v>Aug</v>
      </c>
      <c r="D45" s="1" t="s">
        <v>144</v>
      </c>
      <c r="E45" s="1">
        <v>23</v>
      </c>
      <c r="F45" s="1" t="s">
        <v>66</v>
      </c>
      <c r="G45" s="1" t="s">
        <v>31</v>
      </c>
      <c r="H45" s="1" t="s">
        <v>19</v>
      </c>
      <c r="I45" s="1" t="s">
        <v>49</v>
      </c>
      <c r="J45" s="1" t="s">
        <v>44</v>
      </c>
      <c r="K45" s="1">
        <v>1</v>
      </c>
      <c r="L45" s="1">
        <v>700</v>
      </c>
      <c r="M45" s="1">
        <v>630</v>
      </c>
      <c r="N45" s="1">
        <v>10</v>
      </c>
      <c r="O45" s="2">
        <v>4</v>
      </c>
      <c r="P45" s="1" t="s">
        <v>37</v>
      </c>
    </row>
    <row r="46" spans="1:16">
      <c r="A46" s="1" t="s">
        <v>145</v>
      </c>
      <c r="B46" s="8">
        <v>45846</v>
      </c>
      <c r="C46" s="9" t="str">
        <f t="shared" si="0"/>
        <v>Jul</v>
      </c>
      <c r="D46" s="1" t="s">
        <v>146</v>
      </c>
      <c r="E46" s="1">
        <v>42</v>
      </c>
      <c r="F46" s="1" t="s">
        <v>63</v>
      </c>
      <c r="G46" s="1" t="s">
        <v>30</v>
      </c>
      <c r="H46" s="1" t="s">
        <v>21</v>
      </c>
      <c r="I46" s="1" t="s">
        <v>50</v>
      </c>
      <c r="J46" s="1" t="s">
        <v>43</v>
      </c>
      <c r="K46" s="1">
        <v>4</v>
      </c>
      <c r="L46" s="1">
        <v>750</v>
      </c>
      <c r="M46" s="1">
        <v>2550</v>
      </c>
      <c r="N46" s="1">
        <v>15</v>
      </c>
      <c r="O46" s="2">
        <v>3</v>
      </c>
      <c r="P46" s="1" t="s">
        <v>35</v>
      </c>
    </row>
    <row r="47" spans="1:16">
      <c r="A47" s="1" t="s">
        <v>147</v>
      </c>
      <c r="B47" s="8">
        <v>45764</v>
      </c>
      <c r="C47" s="9" t="str">
        <f t="shared" si="0"/>
        <v>Apr</v>
      </c>
      <c r="D47" s="1" t="s">
        <v>148</v>
      </c>
      <c r="E47" s="1">
        <v>28</v>
      </c>
      <c r="F47" s="1" t="s">
        <v>66</v>
      </c>
      <c r="G47" s="1" t="s">
        <v>33</v>
      </c>
      <c r="H47" s="1" t="s">
        <v>18</v>
      </c>
      <c r="I47" s="1" t="s">
        <v>47</v>
      </c>
      <c r="J47" s="1" t="s">
        <v>41</v>
      </c>
      <c r="K47" s="1">
        <v>1</v>
      </c>
      <c r="L47" s="1">
        <v>850</v>
      </c>
      <c r="M47" s="1">
        <v>680</v>
      </c>
      <c r="N47" s="1">
        <v>20</v>
      </c>
      <c r="O47" s="2">
        <v>5</v>
      </c>
      <c r="P47" s="1" t="s">
        <v>38</v>
      </c>
    </row>
    <row r="48" spans="1:16">
      <c r="A48" s="1" t="s">
        <v>149</v>
      </c>
      <c r="B48" s="8">
        <v>45795</v>
      </c>
      <c r="C48" s="9" t="str">
        <f t="shared" si="0"/>
        <v>May</v>
      </c>
      <c r="D48" s="1" t="s">
        <v>150</v>
      </c>
      <c r="E48" s="1">
        <v>36</v>
      </c>
      <c r="F48" s="1" t="s">
        <v>63</v>
      </c>
      <c r="G48" s="1" t="s">
        <v>33</v>
      </c>
      <c r="H48" s="1" t="s">
        <v>22</v>
      </c>
      <c r="I48" s="1" t="s">
        <v>46</v>
      </c>
      <c r="J48" s="1" t="s">
        <v>40</v>
      </c>
      <c r="K48" s="1">
        <v>4</v>
      </c>
      <c r="L48" s="1">
        <v>600</v>
      </c>
      <c r="M48" s="1">
        <v>1920</v>
      </c>
      <c r="N48" s="1">
        <v>20</v>
      </c>
      <c r="O48" s="2">
        <v>5</v>
      </c>
      <c r="P48" s="1" t="s">
        <v>37</v>
      </c>
    </row>
    <row r="49" spans="1:16">
      <c r="A49" s="1" t="s">
        <v>151</v>
      </c>
      <c r="B49" s="8">
        <v>45964</v>
      </c>
      <c r="C49" s="9" t="str">
        <f t="shared" si="0"/>
        <v>Nov</v>
      </c>
      <c r="D49" s="1" t="s">
        <v>152</v>
      </c>
      <c r="E49" s="1">
        <v>34</v>
      </c>
      <c r="F49" s="1" t="s">
        <v>63</v>
      </c>
      <c r="G49" s="1" t="s">
        <v>29</v>
      </c>
      <c r="H49" s="1" t="s">
        <v>17</v>
      </c>
      <c r="I49" s="1" t="s">
        <v>48</v>
      </c>
      <c r="J49" s="1" t="s">
        <v>43</v>
      </c>
      <c r="K49" s="1">
        <v>4</v>
      </c>
      <c r="L49" s="1">
        <v>900</v>
      </c>
      <c r="M49" s="1">
        <v>3420</v>
      </c>
      <c r="N49" s="1">
        <v>5</v>
      </c>
      <c r="O49" s="2">
        <v>5</v>
      </c>
      <c r="P49" s="1" t="s">
        <v>36</v>
      </c>
    </row>
    <row r="50" spans="1:16">
      <c r="A50" s="1" t="s">
        <v>153</v>
      </c>
      <c r="B50" s="8">
        <v>45903</v>
      </c>
      <c r="C50" s="9" t="str">
        <f t="shared" si="0"/>
        <v>Sep</v>
      </c>
      <c r="D50" s="1" t="s">
        <v>154</v>
      </c>
      <c r="E50" s="1">
        <v>36</v>
      </c>
      <c r="F50" s="1" t="s">
        <v>63</v>
      </c>
      <c r="G50" s="1" t="s">
        <v>30</v>
      </c>
      <c r="H50" s="1" t="s">
        <v>22</v>
      </c>
      <c r="I50" s="1" t="s">
        <v>46</v>
      </c>
      <c r="J50" s="1" t="s">
        <v>42</v>
      </c>
      <c r="K50" s="1">
        <v>4</v>
      </c>
      <c r="L50" s="1">
        <v>600</v>
      </c>
      <c r="M50" s="1">
        <v>2400</v>
      </c>
      <c r="N50" s="1">
        <v>0</v>
      </c>
      <c r="O50" s="2">
        <v>3</v>
      </c>
      <c r="P50" s="1" t="s">
        <v>35</v>
      </c>
    </row>
    <row r="51" spans="1:16">
      <c r="A51" s="1" t="s">
        <v>155</v>
      </c>
      <c r="B51" s="8">
        <v>45982</v>
      </c>
      <c r="C51" s="9" t="str">
        <f t="shared" si="0"/>
        <v>Nov</v>
      </c>
      <c r="D51" s="1" t="s">
        <v>156</v>
      </c>
      <c r="E51" s="1">
        <v>20</v>
      </c>
      <c r="F51" s="1" t="s">
        <v>63</v>
      </c>
      <c r="G51" s="1" t="s">
        <v>33</v>
      </c>
      <c r="H51" s="1" t="s">
        <v>19</v>
      </c>
      <c r="I51" s="1" t="s">
        <v>49</v>
      </c>
      <c r="J51" s="1" t="s">
        <v>40</v>
      </c>
      <c r="K51" s="1">
        <v>3</v>
      </c>
      <c r="L51" s="1">
        <v>700</v>
      </c>
      <c r="M51" s="1">
        <v>1995</v>
      </c>
      <c r="N51" s="1">
        <v>5</v>
      </c>
      <c r="O51" s="2">
        <v>3</v>
      </c>
      <c r="P51" s="1" t="s">
        <v>37</v>
      </c>
    </row>
    <row r="52" spans="1:16">
      <c r="A52" s="1" t="s">
        <v>157</v>
      </c>
      <c r="B52" s="8">
        <v>45741</v>
      </c>
      <c r="C52" s="9" t="str">
        <f t="shared" si="0"/>
        <v>Mar</v>
      </c>
      <c r="D52" s="1" t="s">
        <v>112</v>
      </c>
      <c r="E52" s="1">
        <v>36</v>
      </c>
      <c r="F52" s="1" t="s">
        <v>63</v>
      </c>
      <c r="G52" s="1" t="s">
        <v>29</v>
      </c>
      <c r="H52" s="1" t="s">
        <v>21</v>
      </c>
      <c r="I52" s="1" t="s">
        <v>50</v>
      </c>
      <c r="J52" s="1" t="s">
        <v>42</v>
      </c>
      <c r="K52" s="1">
        <v>2</v>
      </c>
      <c r="L52" s="1">
        <v>750</v>
      </c>
      <c r="M52" s="1">
        <v>1500</v>
      </c>
      <c r="N52" s="1">
        <v>0</v>
      </c>
      <c r="O52" s="2">
        <v>5</v>
      </c>
      <c r="P52" s="1" t="s">
        <v>38</v>
      </c>
    </row>
    <row r="53" spans="1:16">
      <c r="A53" s="1" t="s">
        <v>158</v>
      </c>
      <c r="B53" s="8">
        <v>45938</v>
      </c>
      <c r="C53" s="9" t="str">
        <f t="shared" si="0"/>
        <v>Oct</v>
      </c>
      <c r="D53" s="1" t="s">
        <v>112</v>
      </c>
      <c r="E53" s="1">
        <v>20</v>
      </c>
      <c r="F53" s="1" t="s">
        <v>66</v>
      </c>
      <c r="G53" s="1" t="s">
        <v>33</v>
      </c>
      <c r="H53" s="1" t="s">
        <v>18</v>
      </c>
      <c r="I53" s="1" t="s">
        <v>47</v>
      </c>
      <c r="J53" s="1" t="s">
        <v>41</v>
      </c>
      <c r="K53" s="1">
        <v>4</v>
      </c>
      <c r="L53" s="1">
        <v>850</v>
      </c>
      <c r="M53" s="1">
        <v>3060</v>
      </c>
      <c r="N53" s="1">
        <v>10</v>
      </c>
      <c r="O53" s="2">
        <v>4</v>
      </c>
      <c r="P53" s="1" t="s">
        <v>35</v>
      </c>
    </row>
    <row r="54" spans="1:16">
      <c r="A54" s="1" t="s">
        <v>159</v>
      </c>
      <c r="B54" s="8">
        <v>45722</v>
      </c>
      <c r="C54" s="9" t="str">
        <f t="shared" si="0"/>
        <v>Mar</v>
      </c>
      <c r="D54" s="1" t="s">
        <v>160</v>
      </c>
      <c r="E54" s="1">
        <v>21</v>
      </c>
      <c r="F54" s="1" t="s">
        <v>63</v>
      </c>
      <c r="G54" s="1" t="s">
        <v>31</v>
      </c>
      <c r="H54" s="1" t="s">
        <v>22</v>
      </c>
      <c r="I54" s="1" t="s">
        <v>46</v>
      </c>
      <c r="J54" s="1" t="s">
        <v>44</v>
      </c>
      <c r="K54" s="1">
        <v>3</v>
      </c>
      <c r="L54" s="1">
        <v>600</v>
      </c>
      <c r="M54" s="1">
        <v>1440</v>
      </c>
      <c r="N54" s="1">
        <v>20</v>
      </c>
      <c r="O54" s="2">
        <v>4</v>
      </c>
      <c r="P54" s="1" t="s">
        <v>35</v>
      </c>
    </row>
    <row r="55" spans="1:16">
      <c r="A55" s="1" t="s">
        <v>161</v>
      </c>
      <c r="B55" s="8">
        <v>45760</v>
      </c>
      <c r="C55" s="9" t="str">
        <f t="shared" si="0"/>
        <v>Apr</v>
      </c>
      <c r="D55" s="1" t="s">
        <v>162</v>
      </c>
      <c r="E55" s="1">
        <v>34</v>
      </c>
      <c r="F55" s="1" t="s">
        <v>66</v>
      </c>
      <c r="G55" s="1" t="s">
        <v>32</v>
      </c>
      <c r="H55" s="1" t="s">
        <v>18</v>
      </c>
      <c r="I55" s="1" t="s">
        <v>47</v>
      </c>
      <c r="J55" s="1" t="s">
        <v>43</v>
      </c>
      <c r="K55" s="1">
        <v>3</v>
      </c>
      <c r="L55" s="1">
        <v>850</v>
      </c>
      <c r="M55" s="1">
        <v>2550</v>
      </c>
      <c r="N55" s="1">
        <v>0</v>
      </c>
      <c r="O55" s="2">
        <v>3</v>
      </c>
      <c r="P55" s="1" t="s">
        <v>37</v>
      </c>
    </row>
    <row r="56" spans="1:16">
      <c r="A56" s="1" t="s">
        <v>163</v>
      </c>
      <c r="B56" s="8">
        <v>45868</v>
      </c>
      <c r="C56" s="9" t="str">
        <f t="shared" si="0"/>
        <v>Jul</v>
      </c>
      <c r="D56" s="1" t="s">
        <v>126</v>
      </c>
      <c r="E56" s="1">
        <v>34</v>
      </c>
      <c r="F56" s="1" t="s">
        <v>63</v>
      </c>
      <c r="G56" s="1" t="s">
        <v>33</v>
      </c>
      <c r="H56" s="1" t="s">
        <v>21</v>
      </c>
      <c r="I56" s="1" t="s">
        <v>50</v>
      </c>
      <c r="J56" s="1" t="s">
        <v>44</v>
      </c>
      <c r="K56" s="1">
        <v>2</v>
      </c>
      <c r="L56" s="1">
        <v>750</v>
      </c>
      <c r="M56" s="1">
        <v>1275</v>
      </c>
      <c r="N56" s="1">
        <v>15</v>
      </c>
      <c r="O56" s="2">
        <v>4</v>
      </c>
      <c r="P56" s="1" t="s">
        <v>38</v>
      </c>
    </row>
    <row r="57" spans="1:16">
      <c r="A57" s="1" t="s">
        <v>164</v>
      </c>
      <c r="B57" s="8">
        <v>45864</v>
      </c>
      <c r="C57" s="9" t="str">
        <f t="shared" si="0"/>
        <v>Jul</v>
      </c>
      <c r="D57" s="1" t="s">
        <v>84</v>
      </c>
      <c r="E57" s="1">
        <v>37</v>
      </c>
      <c r="F57" s="1" t="s">
        <v>63</v>
      </c>
      <c r="G57" s="1" t="s">
        <v>26</v>
      </c>
      <c r="H57" s="1" t="s">
        <v>23</v>
      </c>
      <c r="I57" s="1" t="s">
        <v>49</v>
      </c>
      <c r="J57" s="1" t="s">
        <v>40</v>
      </c>
      <c r="K57" s="1">
        <v>3</v>
      </c>
      <c r="L57" s="1">
        <v>800</v>
      </c>
      <c r="M57" s="1">
        <v>2400</v>
      </c>
      <c r="N57" s="1">
        <v>0</v>
      </c>
      <c r="O57" s="2">
        <v>5</v>
      </c>
      <c r="P57" s="1" t="s">
        <v>37</v>
      </c>
    </row>
    <row r="58" spans="1:16">
      <c r="A58" s="1" t="s">
        <v>165</v>
      </c>
      <c r="B58" s="8">
        <v>45680</v>
      </c>
      <c r="C58" s="9" t="str">
        <f t="shared" si="0"/>
        <v>Jan</v>
      </c>
      <c r="D58" s="1" t="s">
        <v>119</v>
      </c>
      <c r="E58" s="1">
        <v>25</v>
      </c>
      <c r="F58" s="1" t="s">
        <v>66</v>
      </c>
      <c r="G58" s="1" t="s">
        <v>27</v>
      </c>
      <c r="H58" s="1" t="s">
        <v>23</v>
      </c>
      <c r="I58" s="1" t="s">
        <v>49</v>
      </c>
      <c r="J58" s="1" t="s">
        <v>43</v>
      </c>
      <c r="K58" s="1">
        <v>1</v>
      </c>
      <c r="L58" s="1">
        <v>800</v>
      </c>
      <c r="M58" s="1">
        <v>800</v>
      </c>
      <c r="N58" s="1">
        <v>0</v>
      </c>
      <c r="O58" s="2">
        <v>3</v>
      </c>
      <c r="P58" s="1" t="s">
        <v>38</v>
      </c>
    </row>
    <row r="59" spans="1:16">
      <c r="A59" s="1" t="s">
        <v>166</v>
      </c>
      <c r="B59" s="8">
        <v>45856</v>
      </c>
      <c r="C59" s="9" t="str">
        <f t="shared" si="0"/>
        <v>Jul</v>
      </c>
      <c r="D59" s="1" t="s">
        <v>167</v>
      </c>
      <c r="E59" s="1">
        <v>34</v>
      </c>
      <c r="F59" s="1" t="s">
        <v>66</v>
      </c>
      <c r="G59" s="1" t="s">
        <v>30</v>
      </c>
      <c r="H59" s="1" t="s">
        <v>19</v>
      </c>
      <c r="I59" s="1" t="s">
        <v>49</v>
      </c>
      <c r="J59" s="1" t="s">
        <v>40</v>
      </c>
      <c r="K59" s="1">
        <v>2</v>
      </c>
      <c r="L59" s="1">
        <v>700</v>
      </c>
      <c r="M59" s="1">
        <v>1330</v>
      </c>
      <c r="N59" s="1">
        <v>5</v>
      </c>
      <c r="O59" s="2">
        <v>5</v>
      </c>
      <c r="P59" s="1" t="s">
        <v>35</v>
      </c>
    </row>
    <row r="60" spans="1:16">
      <c r="A60" s="1" t="s">
        <v>168</v>
      </c>
      <c r="B60" s="8">
        <v>45668</v>
      </c>
      <c r="C60" s="9" t="str">
        <f t="shared" si="0"/>
        <v>Jan</v>
      </c>
      <c r="D60" s="1" t="s">
        <v>169</v>
      </c>
      <c r="E60" s="1">
        <v>22</v>
      </c>
      <c r="F60" s="1" t="s">
        <v>66</v>
      </c>
      <c r="G60" s="1" t="s">
        <v>26</v>
      </c>
      <c r="H60" s="1" t="s">
        <v>20</v>
      </c>
      <c r="I60" s="1" t="s">
        <v>49</v>
      </c>
      <c r="J60" s="1" t="s">
        <v>41</v>
      </c>
      <c r="K60" s="1">
        <v>4</v>
      </c>
      <c r="L60" s="1">
        <v>650</v>
      </c>
      <c r="M60" s="1">
        <v>2210</v>
      </c>
      <c r="N60" s="1">
        <v>15</v>
      </c>
      <c r="O60" s="2">
        <v>5</v>
      </c>
      <c r="P60" s="1" t="s">
        <v>38</v>
      </c>
    </row>
    <row r="61" spans="1:16">
      <c r="A61" s="1" t="s">
        <v>170</v>
      </c>
      <c r="B61" s="8">
        <v>45723</v>
      </c>
      <c r="C61" s="9" t="str">
        <f t="shared" si="0"/>
        <v>Mar</v>
      </c>
      <c r="D61" s="1" t="s">
        <v>62</v>
      </c>
      <c r="E61" s="1">
        <v>32</v>
      </c>
      <c r="F61" s="1" t="s">
        <v>66</v>
      </c>
      <c r="G61" s="1" t="s">
        <v>27</v>
      </c>
      <c r="H61" s="1" t="s">
        <v>21</v>
      </c>
      <c r="I61" s="1" t="s">
        <v>50</v>
      </c>
      <c r="J61" s="1" t="s">
        <v>40</v>
      </c>
      <c r="K61" s="1">
        <v>4</v>
      </c>
      <c r="L61" s="1">
        <v>750</v>
      </c>
      <c r="M61" s="1">
        <v>2550</v>
      </c>
      <c r="N61" s="1">
        <v>15</v>
      </c>
      <c r="O61" s="2">
        <v>3</v>
      </c>
      <c r="P61" s="1" t="s">
        <v>37</v>
      </c>
    </row>
    <row r="62" spans="1:16">
      <c r="A62" s="1" t="s">
        <v>171</v>
      </c>
      <c r="B62" s="8">
        <v>45844</v>
      </c>
      <c r="C62" s="9" t="str">
        <f t="shared" si="0"/>
        <v>Jul</v>
      </c>
      <c r="D62" s="1" t="s">
        <v>172</v>
      </c>
      <c r="E62" s="1">
        <v>36</v>
      </c>
      <c r="F62" s="1" t="s">
        <v>66</v>
      </c>
      <c r="G62" s="1" t="s">
        <v>30</v>
      </c>
      <c r="H62" s="1" t="s">
        <v>21</v>
      </c>
      <c r="I62" s="1" t="s">
        <v>50</v>
      </c>
      <c r="J62" s="1" t="s">
        <v>41</v>
      </c>
      <c r="K62" s="1">
        <v>2</v>
      </c>
      <c r="L62" s="1">
        <v>750</v>
      </c>
      <c r="M62" s="1">
        <v>1200</v>
      </c>
      <c r="N62" s="1">
        <v>20</v>
      </c>
      <c r="O62" s="2">
        <v>4</v>
      </c>
      <c r="P62" s="1" t="s">
        <v>37</v>
      </c>
    </row>
    <row r="63" spans="1:16">
      <c r="A63" s="1" t="s">
        <v>173</v>
      </c>
      <c r="B63" s="8">
        <v>45898</v>
      </c>
      <c r="C63" s="9" t="str">
        <f t="shared" si="0"/>
        <v>Aug</v>
      </c>
      <c r="D63" s="1" t="s">
        <v>174</v>
      </c>
      <c r="E63" s="1">
        <v>29</v>
      </c>
      <c r="F63" s="1" t="s">
        <v>63</v>
      </c>
      <c r="G63" s="1" t="s">
        <v>29</v>
      </c>
      <c r="H63" s="1" t="s">
        <v>24</v>
      </c>
      <c r="I63" s="1" t="s">
        <v>49</v>
      </c>
      <c r="J63" s="1" t="s">
        <v>43</v>
      </c>
      <c r="K63" s="1">
        <v>1</v>
      </c>
      <c r="L63" s="1">
        <v>550</v>
      </c>
      <c r="M63" s="1">
        <v>495</v>
      </c>
      <c r="N63" s="1">
        <v>10</v>
      </c>
      <c r="O63" s="2">
        <v>4</v>
      </c>
      <c r="P63" s="1" t="s">
        <v>38</v>
      </c>
    </row>
    <row r="64" spans="1:16">
      <c r="A64" s="1" t="s">
        <v>175</v>
      </c>
      <c r="B64" s="8">
        <v>45780</v>
      </c>
      <c r="C64" s="9" t="str">
        <f t="shared" si="0"/>
        <v>May</v>
      </c>
      <c r="D64" s="1" t="s">
        <v>103</v>
      </c>
      <c r="E64" s="1">
        <v>31</v>
      </c>
      <c r="F64" s="1" t="s">
        <v>63</v>
      </c>
      <c r="G64" s="1" t="s">
        <v>30</v>
      </c>
      <c r="H64" s="1" t="s">
        <v>19</v>
      </c>
      <c r="I64" s="1" t="s">
        <v>49</v>
      </c>
      <c r="J64" s="1" t="s">
        <v>42</v>
      </c>
      <c r="K64" s="1">
        <v>3</v>
      </c>
      <c r="L64" s="1">
        <v>700</v>
      </c>
      <c r="M64" s="1">
        <v>1995</v>
      </c>
      <c r="N64" s="1">
        <v>5</v>
      </c>
      <c r="O64" s="2">
        <v>3</v>
      </c>
      <c r="P64" s="1" t="s">
        <v>38</v>
      </c>
    </row>
    <row r="65" spans="1:16">
      <c r="A65" s="1" t="s">
        <v>176</v>
      </c>
      <c r="B65" s="8">
        <v>45923</v>
      </c>
      <c r="C65" s="9" t="str">
        <f t="shared" si="0"/>
        <v>Sep</v>
      </c>
      <c r="D65" s="1" t="s">
        <v>177</v>
      </c>
      <c r="E65" s="1">
        <v>37</v>
      </c>
      <c r="F65" s="1" t="s">
        <v>66</v>
      </c>
      <c r="G65" s="1" t="s">
        <v>30</v>
      </c>
      <c r="H65" s="1" t="s">
        <v>17</v>
      </c>
      <c r="I65" s="1" t="s">
        <v>48</v>
      </c>
      <c r="J65" s="1" t="s">
        <v>40</v>
      </c>
      <c r="K65" s="1">
        <v>4</v>
      </c>
      <c r="L65" s="1">
        <v>900</v>
      </c>
      <c r="M65" s="1">
        <v>3420</v>
      </c>
      <c r="N65" s="1">
        <v>5</v>
      </c>
      <c r="O65" s="2">
        <v>4</v>
      </c>
      <c r="P65" s="1" t="s">
        <v>36</v>
      </c>
    </row>
    <row r="66" spans="1:16">
      <c r="A66" s="1" t="s">
        <v>178</v>
      </c>
      <c r="B66" s="8">
        <v>45765</v>
      </c>
      <c r="C66" s="9" t="str">
        <f t="shared" si="0"/>
        <v>Apr</v>
      </c>
      <c r="D66" s="1" t="s">
        <v>108</v>
      </c>
      <c r="E66" s="1">
        <v>36</v>
      </c>
      <c r="F66" s="1" t="s">
        <v>63</v>
      </c>
      <c r="G66" s="1" t="s">
        <v>32</v>
      </c>
      <c r="H66" s="1" t="s">
        <v>22</v>
      </c>
      <c r="I66" s="1" t="s">
        <v>46</v>
      </c>
      <c r="J66" s="1" t="s">
        <v>42</v>
      </c>
      <c r="K66" s="1">
        <v>2</v>
      </c>
      <c r="L66" s="1">
        <v>600</v>
      </c>
      <c r="M66" s="1">
        <v>1140</v>
      </c>
      <c r="N66" s="1">
        <v>5</v>
      </c>
      <c r="O66" s="2">
        <v>3</v>
      </c>
      <c r="P66" s="1" t="s">
        <v>37</v>
      </c>
    </row>
    <row r="67" spans="1:16">
      <c r="A67" s="1" t="s">
        <v>179</v>
      </c>
      <c r="B67" s="8">
        <v>45896</v>
      </c>
      <c r="C67" s="9" t="str">
        <f t="shared" ref="C67:C130" si="1">TEXT(B67,"mmm")</f>
        <v>Aug</v>
      </c>
      <c r="D67" s="1" t="s">
        <v>144</v>
      </c>
      <c r="E67" s="1">
        <v>45</v>
      </c>
      <c r="F67" s="1" t="s">
        <v>63</v>
      </c>
      <c r="G67" s="1" t="s">
        <v>32</v>
      </c>
      <c r="H67" s="1" t="s">
        <v>17</v>
      </c>
      <c r="I67" s="1" t="s">
        <v>48</v>
      </c>
      <c r="J67" s="1" t="s">
        <v>43</v>
      </c>
      <c r="K67" s="1">
        <v>2</v>
      </c>
      <c r="L67" s="1">
        <v>900</v>
      </c>
      <c r="M67" s="1">
        <v>1530</v>
      </c>
      <c r="N67" s="1">
        <v>15</v>
      </c>
      <c r="O67" s="2">
        <v>5</v>
      </c>
      <c r="P67" s="1" t="s">
        <v>35</v>
      </c>
    </row>
    <row r="68" spans="1:16">
      <c r="A68" s="1" t="s">
        <v>180</v>
      </c>
      <c r="B68" s="8">
        <v>45887</v>
      </c>
      <c r="C68" s="9" t="str">
        <f t="shared" si="1"/>
        <v>Aug</v>
      </c>
      <c r="D68" s="1" t="s">
        <v>126</v>
      </c>
      <c r="E68" s="1">
        <v>19</v>
      </c>
      <c r="F68" s="1" t="s">
        <v>63</v>
      </c>
      <c r="G68" s="1" t="s">
        <v>26</v>
      </c>
      <c r="H68" s="1" t="s">
        <v>17</v>
      </c>
      <c r="I68" s="1" t="s">
        <v>48</v>
      </c>
      <c r="J68" s="1" t="s">
        <v>41</v>
      </c>
      <c r="K68" s="1">
        <v>4</v>
      </c>
      <c r="L68" s="1">
        <v>900</v>
      </c>
      <c r="M68" s="1">
        <v>2880</v>
      </c>
      <c r="N68" s="1">
        <v>20</v>
      </c>
      <c r="O68" s="2">
        <v>3</v>
      </c>
      <c r="P68" s="1" t="s">
        <v>37</v>
      </c>
    </row>
    <row r="69" spans="1:16">
      <c r="A69" s="1" t="s">
        <v>181</v>
      </c>
      <c r="B69" s="8">
        <v>45917</v>
      </c>
      <c r="C69" s="9" t="str">
        <f t="shared" si="1"/>
        <v>Sep</v>
      </c>
      <c r="D69" s="1" t="s">
        <v>138</v>
      </c>
      <c r="E69" s="1">
        <v>36</v>
      </c>
      <c r="F69" s="1" t="s">
        <v>63</v>
      </c>
      <c r="G69" s="1" t="s">
        <v>26</v>
      </c>
      <c r="H69" s="1" t="s">
        <v>20</v>
      </c>
      <c r="I69" s="1" t="s">
        <v>49</v>
      </c>
      <c r="J69" s="1" t="s">
        <v>42</v>
      </c>
      <c r="K69" s="1">
        <v>2</v>
      </c>
      <c r="L69" s="1">
        <v>650</v>
      </c>
      <c r="M69" s="1">
        <v>1105</v>
      </c>
      <c r="N69" s="1">
        <v>15</v>
      </c>
      <c r="O69" s="2">
        <v>5</v>
      </c>
      <c r="P69" s="1" t="s">
        <v>37</v>
      </c>
    </row>
    <row r="70" spans="1:16">
      <c r="A70" s="1" t="s">
        <v>182</v>
      </c>
      <c r="B70" s="8">
        <v>45704</v>
      </c>
      <c r="C70" s="9" t="str">
        <f t="shared" si="1"/>
        <v>Feb</v>
      </c>
      <c r="D70" s="1" t="s">
        <v>183</v>
      </c>
      <c r="E70" s="1">
        <v>29</v>
      </c>
      <c r="F70" s="1" t="s">
        <v>66</v>
      </c>
      <c r="G70" s="1" t="s">
        <v>32</v>
      </c>
      <c r="H70" s="1" t="s">
        <v>20</v>
      </c>
      <c r="I70" s="1" t="s">
        <v>49</v>
      </c>
      <c r="J70" s="1" t="s">
        <v>42</v>
      </c>
      <c r="K70" s="1">
        <v>4</v>
      </c>
      <c r="L70" s="1">
        <v>650</v>
      </c>
      <c r="M70" s="1">
        <v>2600</v>
      </c>
      <c r="N70" s="1">
        <v>0</v>
      </c>
      <c r="O70" s="2">
        <v>3</v>
      </c>
      <c r="P70" s="1" t="s">
        <v>36</v>
      </c>
    </row>
    <row r="71" spans="1:16">
      <c r="A71" s="1" t="s">
        <v>184</v>
      </c>
      <c r="B71" s="8">
        <v>45763</v>
      </c>
      <c r="C71" s="9" t="str">
        <f t="shared" si="1"/>
        <v>Apr</v>
      </c>
      <c r="D71" s="1" t="s">
        <v>185</v>
      </c>
      <c r="E71" s="1">
        <v>24</v>
      </c>
      <c r="F71" s="1" t="s">
        <v>66</v>
      </c>
      <c r="G71" s="1" t="s">
        <v>27</v>
      </c>
      <c r="H71" s="1" t="s">
        <v>19</v>
      </c>
      <c r="I71" s="1" t="s">
        <v>49</v>
      </c>
      <c r="J71" s="1" t="s">
        <v>42</v>
      </c>
      <c r="K71" s="1">
        <v>1</v>
      </c>
      <c r="L71" s="1">
        <v>700</v>
      </c>
      <c r="M71" s="1">
        <v>700</v>
      </c>
      <c r="N71" s="1">
        <v>0</v>
      </c>
      <c r="O71" s="2">
        <v>3</v>
      </c>
      <c r="P71" s="1" t="s">
        <v>35</v>
      </c>
    </row>
    <row r="72" spans="1:16">
      <c r="A72" s="1" t="s">
        <v>186</v>
      </c>
      <c r="B72" s="8">
        <v>45772</v>
      </c>
      <c r="C72" s="9" t="str">
        <f t="shared" si="1"/>
        <v>Apr</v>
      </c>
      <c r="D72" s="1" t="s">
        <v>140</v>
      </c>
      <c r="E72" s="1">
        <v>18</v>
      </c>
      <c r="F72" s="1" t="s">
        <v>66</v>
      </c>
      <c r="G72" s="1" t="s">
        <v>27</v>
      </c>
      <c r="H72" s="1" t="s">
        <v>18</v>
      </c>
      <c r="I72" s="1" t="s">
        <v>47</v>
      </c>
      <c r="J72" s="1" t="s">
        <v>41</v>
      </c>
      <c r="K72" s="1">
        <v>4</v>
      </c>
      <c r="L72" s="1">
        <v>850</v>
      </c>
      <c r="M72" s="1">
        <v>2720</v>
      </c>
      <c r="N72" s="1">
        <v>20</v>
      </c>
      <c r="O72" s="2">
        <v>5</v>
      </c>
      <c r="P72" s="1" t="s">
        <v>38</v>
      </c>
    </row>
    <row r="73" spans="1:16">
      <c r="A73" s="1" t="s">
        <v>187</v>
      </c>
      <c r="B73" s="8">
        <v>45739</v>
      </c>
      <c r="C73" s="9" t="str">
        <f t="shared" si="1"/>
        <v>Mar</v>
      </c>
      <c r="D73" s="1" t="s">
        <v>188</v>
      </c>
      <c r="E73" s="1">
        <v>33</v>
      </c>
      <c r="F73" s="1" t="s">
        <v>66</v>
      </c>
      <c r="G73" s="1" t="s">
        <v>32</v>
      </c>
      <c r="H73" s="1" t="s">
        <v>23</v>
      </c>
      <c r="I73" s="1" t="s">
        <v>49</v>
      </c>
      <c r="J73" s="1" t="s">
        <v>42</v>
      </c>
      <c r="K73" s="1">
        <v>4</v>
      </c>
      <c r="L73" s="1">
        <v>800</v>
      </c>
      <c r="M73" s="1">
        <v>2720</v>
      </c>
      <c r="N73" s="1">
        <v>15</v>
      </c>
      <c r="O73" s="2">
        <v>5</v>
      </c>
      <c r="P73" s="1" t="s">
        <v>35</v>
      </c>
    </row>
    <row r="74" spans="1:16">
      <c r="A74" s="1" t="s">
        <v>189</v>
      </c>
      <c r="B74" s="8">
        <v>45786</v>
      </c>
      <c r="C74" s="9" t="str">
        <f t="shared" si="1"/>
        <v>May</v>
      </c>
      <c r="D74" s="1" t="s">
        <v>190</v>
      </c>
      <c r="E74" s="1">
        <v>42</v>
      </c>
      <c r="F74" s="1" t="s">
        <v>63</v>
      </c>
      <c r="G74" s="1" t="s">
        <v>31</v>
      </c>
      <c r="H74" s="1" t="s">
        <v>23</v>
      </c>
      <c r="I74" s="1" t="s">
        <v>49</v>
      </c>
      <c r="J74" s="1" t="s">
        <v>42</v>
      </c>
      <c r="K74" s="1">
        <v>1</v>
      </c>
      <c r="L74" s="1">
        <v>800</v>
      </c>
      <c r="M74" s="1">
        <v>760</v>
      </c>
      <c r="N74" s="1">
        <v>5</v>
      </c>
      <c r="O74" s="2">
        <v>5</v>
      </c>
      <c r="P74" s="1" t="s">
        <v>37</v>
      </c>
    </row>
    <row r="75" spans="1:16">
      <c r="A75" s="1" t="s">
        <v>191</v>
      </c>
      <c r="B75" s="8">
        <v>45872</v>
      </c>
      <c r="C75" s="9" t="str">
        <f t="shared" si="1"/>
        <v>Aug</v>
      </c>
      <c r="D75" s="1" t="s">
        <v>192</v>
      </c>
      <c r="E75" s="1">
        <v>21</v>
      </c>
      <c r="F75" s="1" t="s">
        <v>66</v>
      </c>
      <c r="G75" s="1" t="s">
        <v>29</v>
      </c>
      <c r="H75" s="1" t="s">
        <v>24</v>
      </c>
      <c r="I75" s="1" t="s">
        <v>49</v>
      </c>
      <c r="J75" s="1" t="s">
        <v>41</v>
      </c>
      <c r="K75" s="1">
        <v>2</v>
      </c>
      <c r="L75" s="1">
        <v>550</v>
      </c>
      <c r="M75" s="1">
        <v>990</v>
      </c>
      <c r="N75" s="1">
        <v>10</v>
      </c>
      <c r="O75" s="2">
        <v>5</v>
      </c>
      <c r="P75" s="1" t="s">
        <v>36</v>
      </c>
    </row>
    <row r="76" spans="1:16">
      <c r="A76" s="1" t="s">
        <v>193</v>
      </c>
      <c r="B76" s="8">
        <v>45904</v>
      </c>
      <c r="C76" s="9" t="str">
        <f t="shared" si="1"/>
        <v>Sep</v>
      </c>
      <c r="D76" s="1" t="s">
        <v>194</v>
      </c>
      <c r="E76" s="1">
        <v>23</v>
      </c>
      <c r="F76" s="1" t="s">
        <v>63</v>
      </c>
      <c r="G76" s="1" t="s">
        <v>26</v>
      </c>
      <c r="H76" s="1" t="s">
        <v>17</v>
      </c>
      <c r="I76" s="1" t="s">
        <v>48</v>
      </c>
      <c r="J76" s="1" t="s">
        <v>40</v>
      </c>
      <c r="K76" s="1">
        <v>3</v>
      </c>
      <c r="L76" s="1">
        <v>900</v>
      </c>
      <c r="M76" s="1">
        <v>2700</v>
      </c>
      <c r="N76" s="1">
        <v>0</v>
      </c>
      <c r="O76" s="2">
        <v>4</v>
      </c>
      <c r="P76" s="1" t="s">
        <v>36</v>
      </c>
    </row>
    <row r="77" spans="1:16">
      <c r="A77" s="1" t="s">
        <v>195</v>
      </c>
      <c r="B77" s="8">
        <v>45686</v>
      </c>
      <c r="C77" s="9" t="str">
        <f t="shared" si="1"/>
        <v>Jan</v>
      </c>
      <c r="D77" s="1" t="s">
        <v>196</v>
      </c>
      <c r="E77" s="1">
        <v>21</v>
      </c>
      <c r="F77" s="1" t="s">
        <v>63</v>
      </c>
      <c r="G77" s="1" t="s">
        <v>30</v>
      </c>
      <c r="H77" s="1" t="s">
        <v>19</v>
      </c>
      <c r="I77" s="1" t="s">
        <v>49</v>
      </c>
      <c r="J77" s="1" t="s">
        <v>43</v>
      </c>
      <c r="K77" s="1">
        <v>4</v>
      </c>
      <c r="L77" s="1">
        <v>700</v>
      </c>
      <c r="M77" s="1">
        <v>2800</v>
      </c>
      <c r="N77" s="1">
        <v>0</v>
      </c>
      <c r="O77" s="2">
        <v>5</v>
      </c>
      <c r="P77" s="1" t="s">
        <v>36</v>
      </c>
    </row>
    <row r="78" spans="1:16">
      <c r="A78" s="1" t="s">
        <v>197</v>
      </c>
      <c r="B78" s="8">
        <v>45817</v>
      </c>
      <c r="C78" s="9" t="str">
        <f t="shared" si="1"/>
        <v>Jun</v>
      </c>
      <c r="D78" s="1" t="s">
        <v>198</v>
      </c>
      <c r="E78" s="1">
        <v>39</v>
      </c>
      <c r="F78" s="1" t="s">
        <v>63</v>
      </c>
      <c r="G78" s="1" t="s">
        <v>31</v>
      </c>
      <c r="H78" s="1" t="s">
        <v>24</v>
      </c>
      <c r="I78" s="1" t="s">
        <v>49</v>
      </c>
      <c r="J78" s="1" t="s">
        <v>42</v>
      </c>
      <c r="K78" s="1">
        <v>3</v>
      </c>
      <c r="L78" s="1">
        <v>550</v>
      </c>
      <c r="M78" s="1">
        <v>1485</v>
      </c>
      <c r="N78" s="1">
        <v>10</v>
      </c>
      <c r="O78" s="2">
        <v>4</v>
      </c>
      <c r="P78" s="1" t="s">
        <v>38</v>
      </c>
    </row>
    <row r="79" spans="1:16">
      <c r="A79" s="1" t="s">
        <v>199</v>
      </c>
      <c r="B79" s="8">
        <v>45930</v>
      </c>
      <c r="C79" s="9" t="str">
        <f t="shared" si="1"/>
        <v>Sep</v>
      </c>
      <c r="D79" s="1" t="s">
        <v>119</v>
      </c>
      <c r="E79" s="1">
        <v>21</v>
      </c>
      <c r="F79" s="1" t="s">
        <v>66</v>
      </c>
      <c r="G79" s="1" t="s">
        <v>27</v>
      </c>
      <c r="H79" s="1" t="s">
        <v>17</v>
      </c>
      <c r="I79" s="1" t="s">
        <v>48</v>
      </c>
      <c r="J79" s="1" t="s">
        <v>42</v>
      </c>
      <c r="K79" s="1">
        <v>4</v>
      </c>
      <c r="L79" s="1">
        <v>900</v>
      </c>
      <c r="M79" s="1">
        <v>3060</v>
      </c>
      <c r="N79" s="1">
        <v>15</v>
      </c>
      <c r="O79" s="2">
        <v>3</v>
      </c>
      <c r="P79" s="1" t="s">
        <v>37</v>
      </c>
    </row>
    <row r="80" spans="1:16">
      <c r="A80" s="1" t="s">
        <v>200</v>
      </c>
      <c r="B80" s="8">
        <v>45915</v>
      </c>
      <c r="C80" s="9" t="str">
        <f t="shared" si="1"/>
        <v>Sep</v>
      </c>
      <c r="D80" s="1" t="s">
        <v>74</v>
      </c>
      <c r="E80" s="1">
        <v>19</v>
      </c>
      <c r="F80" s="1" t="s">
        <v>63</v>
      </c>
      <c r="G80" s="1" t="s">
        <v>31</v>
      </c>
      <c r="H80" s="1" t="s">
        <v>21</v>
      </c>
      <c r="I80" s="1" t="s">
        <v>50</v>
      </c>
      <c r="J80" s="1" t="s">
        <v>43</v>
      </c>
      <c r="K80" s="1">
        <v>3</v>
      </c>
      <c r="L80" s="1">
        <v>750</v>
      </c>
      <c r="M80" s="1">
        <v>1800</v>
      </c>
      <c r="N80" s="1">
        <v>20</v>
      </c>
      <c r="O80" s="2">
        <v>5</v>
      </c>
      <c r="P80" s="1" t="s">
        <v>35</v>
      </c>
    </row>
    <row r="81" spans="1:16">
      <c r="A81" s="1" t="s">
        <v>201</v>
      </c>
      <c r="B81" s="8">
        <v>45844</v>
      </c>
      <c r="C81" s="9" t="str">
        <f t="shared" si="1"/>
        <v>Jul</v>
      </c>
      <c r="D81" s="1" t="s">
        <v>202</v>
      </c>
      <c r="E81" s="1">
        <v>26</v>
      </c>
      <c r="F81" s="1" t="s">
        <v>63</v>
      </c>
      <c r="G81" s="1" t="s">
        <v>33</v>
      </c>
      <c r="H81" s="1" t="s">
        <v>19</v>
      </c>
      <c r="I81" s="1" t="s">
        <v>49</v>
      </c>
      <c r="J81" s="1" t="s">
        <v>40</v>
      </c>
      <c r="K81" s="1">
        <v>1</v>
      </c>
      <c r="L81" s="1">
        <v>700</v>
      </c>
      <c r="M81" s="1">
        <v>700</v>
      </c>
      <c r="N81" s="1">
        <v>0</v>
      </c>
      <c r="O81" s="2">
        <v>5</v>
      </c>
      <c r="P81" s="1" t="s">
        <v>36</v>
      </c>
    </row>
    <row r="82" spans="1:16">
      <c r="A82" s="1" t="s">
        <v>203</v>
      </c>
      <c r="B82" s="8">
        <v>45770</v>
      </c>
      <c r="C82" s="9" t="str">
        <f t="shared" si="1"/>
        <v>Apr</v>
      </c>
      <c r="D82" s="1" t="s">
        <v>190</v>
      </c>
      <c r="E82" s="1">
        <v>37</v>
      </c>
      <c r="F82" s="1" t="s">
        <v>66</v>
      </c>
      <c r="G82" s="1" t="s">
        <v>29</v>
      </c>
      <c r="H82" s="1" t="s">
        <v>20</v>
      </c>
      <c r="I82" s="1" t="s">
        <v>49</v>
      </c>
      <c r="J82" s="1" t="s">
        <v>42</v>
      </c>
      <c r="K82" s="1">
        <v>4</v>
      </c>
      <c r="L82" s="1">
        <v>650</v>
      </c>
      <c r="M82" s="1">
        <v>2080</v>
      </c>
      <c r="N82" s="1">
        <v>20</v>
      </c>
      <c r="O82" s="2">
        <v>3</v>
      </c>
      <c r="P82" s="1" t="s">
        <v>37</v>
      </c>
    </row>
    <row r="83" spans="1:16">
      <c r="A83" s="1" t="s">
        <v>204</v>
      </c>
      <c r="B83" s="8">
        <v>45706</v>
      </c>
      <c r="C83" s="9" t="str">
        <f t="shared" si="1"/>
        <v>Feb</v>
      </c>
      <c r="D83" s="1" t="s">
        <v>114</v>
      </c>
      <c r="E83" s="1">
        <v>27</v>
      </c>
      <c r="F83" s="1" t="s">
        <v>66</v>
      </c>
      <c r="G83" s="1" t="s">
        <v>30</v>
      </c>
      <c r="H83" s="1" t="s">
        <v>18</v>
      </c>
      <c r="I83" s="1" t="s">
        <v>47</v>
      </c>
      <c r="J83" s="1" t="s">
        <v>41</v>
      </c>
      <c r="K83" s="1">
        <v>2</v>
      </c>
      <c r="L83" s="1">
        <v>850</v>
      </c>
      <c r="M83" s="1">
        <v>1360</v>
      </c>
      <c r="N83" s="1">
        <v>20</v>
      </c>
      <c r="O83" s="2">
        <v>5</v>
      </c>
      <c r="P83" s="1" t="s">
        <v>38</v>
      </c>
    </row>
    <row r="84" spans="1:16">
      <c r="A84" s="1" t="s">
        <v>205</v>
      </c>
      <c r="B84" s="8">
        <v>45717</v>
      </c>
      <c r="C84" s="9" t="str">
        <f t="shared" si="1"/>
        <v>Mar</v>
      </c>
      <c r="D84" s="1" t="s">
        <v>206</v>
      </c>
      <c r="E84" s="1">
        <v>36</v>
      </c>
      <c r="F84" s="1" t="s">
        <v>66</v>
      </c>
      <c r="G84" s="1" t="s">
        <v>29</v>
      </c>
      <c r="H84" s="1" t="s">
        <v>23</v>
      </c>
      <c r="I84" s="1" t="s">
        <v>49</v>
      </c>
      <c r="J84" s="1" t="s">
        <v>41</v>
      </c>
      <c r="K84" s="1">
        <v>1</v>
      </c>
      <c r="L84" s="1">
        <v>800</v>
      </c>
      <c r="M84" s="1">
        <v>720</v>
      </c>
      <c r="N84" s="1">
        <v>10</v>
      </c>
      <c r="O84" s="2">
        <v>4</v>
      </c>
      <c r="P84" s="1" t="s">
        <v>36</v>
      </c>
    </row>
    <row r="85" spans="1:16">
      <c r="A85" s="1" t="s">
        <v>207</v>
      </c>
      <c r="B85" s="8">
        <v>45850</v>
      </c>
      <c r="C85" s="9" t="str">
        <f t="shared" si="1"/>
        <v>Jul</v>
      </c>
      <c r="D85" s="1" t="s">
        <v>126</v>
      </c>
      <c r="E85" s="1">
        <v>18</v>
      </c>
      <c r="F85" s="1" t="s">
        <v>63</v>
      </c>
      <c r="G85" s="1" t="s">
        <v>29</v>
      </c>
      <c r="H85" s="1" t="s">
        <v>20</v>
      </c>
      <c r="I85" s="1" t="s">
        <v>49</v>
      </c>
      <c r="J85" s="1" t="s">
        <v>43</v>
      </c>
      <c r="K85" s="1">
        <v>2</v>
      </c>
      <c r="L85" s="1">
        <v>650</v>
      </c>
      <c r="M85" s="1">
        <v>1235</v>
      </c>
      <c r="N85" s="1">
        <v>5</v>
      </c>
      <c r="O85" s="2">
        <v>5</v>
      </c>
      <c r="P85" s="1" t="s">
        <v>35</v>
      </c>
    </row>
    <row r="86" spans="1:16">
      <c r="A86" s="1" t="s">
        <v>208</v>
      </c>
      <c r="B86" s="8">
        <v>45682</v>
      </c>
      <c r="C86" s="9" t="str">
        <f t="shared" si="1"/>
        <v>Jan</v>
      </c>
      <c r="D86" s="1" t="s">
        <v>209</v>
      </c>
      <c r="E86" s="1">
        <v>26</v>
      </c>
      <c r="F86" s="1" t="s">
        <v>66</v>
      </c>
      <c r="G86" s="1" t="s">
        <v>33</v>
      </c>
      <c r="H86" s="1" t="s">
        <v>22</v>
      </c>
      <c r="I86" s="1" t="s">
        <v>46</v>
      </c>
      <c r="J86" s="1" t="s">
        <v>44</v>
      </c>
      <c r="K86" s="1">
        <v>1</v>
      </c>
      <c r="L86" s="1">
        <v>600</v>
      </c>
      <c r="M86" s="1">
        <v>600</v>
      </c>
      <c r="N86" s="1">
        <v>0</v>
      </c>
      <c r="O86" s="2">
        <v>4</v>
      </c>
      <c r="P86" s="1" t="s">
        <v>36</v>
      </c>
    </row>
    <row r="87" spans="1:16">
      <c r="A87" s="1" t="s">
        <v>210</v>
      </c>
      <c r="B87" s="8">
        <v>45986</v>
      </c>
      <c r="C87" s="9" t="str">
        <f t="shared" si="1"/>
        <v>Nov</v>
      </c>
      <c r="D87" s="1" t="s">
        <v>211</v>
      </c>
      <c r="E87" s="1">
        <v>29</v>
      </c>
      <c r="F87" s="1" t="s">
        <v>63</v>
      </c>
      <c r="G87" s="1" t="s">
        <v>31</v>
      </c>
      <c r="H87" s="1" t="s">
        <v>23</v>
      </c>
      <c r="I87" s="1" t="s">
        <v>49</v>
      </c>
      <c r="J87" s="1" t="s">
        <v>43</v>
      </c>
      <c r="K87" s="1">
        <v>4</v>
      </c>
      <c r="L87" s="1">
        <v>800</v>
      </c>
      <c r="M87" s="1">
        <v>2880</v>
      </c>
      <c r="N87" s="1">
        <v>10</v>
      </c>
      <c r="O87" s="2">
        <v>5</v>
      </c>
      <c r="P87" s="1" t="s">
        <v>36</v>
      </c>
    </row>
    <row r="88" spans="1:16">
      <c r="A88" s="1" t="s">
        <v>212</v>
      </c>
      <c r="B88" s="8">
        <v>45753</v>
      </c>
      <c r="C88" s="9" t="str">
        <f t="shared" si="1"/>
        <v>Apr</v>
      </c>
      <c r="D88" s="1" t="s">
        <v>213</v>
      </c>
      <c r="E88" s="1">
        <v>37</v>
      </c>
      <c r="F88" s="1" t="s">
        <v>63</v>
      </c>
      <c r="G88" s="1" t="s">
        <v>33</v>
      </c>
      <c r="H88" s="1" t="s">
        <v>20</v>
      </c>
      <c r="I88" s="1" t="s">
        <v>49</v>
      </c>
      <c r="J88" s="1" t="s">
        <v>43</v>
      </c>
      <c r="K88" s="1">
        <v>2</v>
      </c>
      <c r="L88" s="1">
        <v>650</v>
      </c>
      <c r="M88" s="1">
        <v>1170</v>
      </c>
      <c r="N88" s="1">
        <v>10</v>
      </c>
      <c r="O88" s="2">
        <v>3</v>
      </c>
      <c r="P88" s="1" t="s">
        <v>37</v>
      </c>
    </row>
    <row r="89" spans="1:16">
      <c r="A89" s="1" t="s">
        <v>214</v>
      </c>
      <c r="B89" s="8">
        <v>46022</v>
      </c>
      <c r="C89" s="9" t="str">
        <f t="shared" si="1"/>
        <v>Dec</v>
      </c>
      <c r="D89" s="1" t="s">
        <v>101</v>
      </c>
      <c r="E89" s="1">
        <v>28</v>
      </c>
      <c r="F89" s="1" t="s">
        <v>66</v>
      </c>
      <c r="G89" s="1" t="s">
        <v>28</v>
      </c>
      <c r="H89" s="1" t="s">
        <v>22</v>
      </c>
      <c r="I89" s="1" t="s">
        <v>46</v>
      </c>
      <c r="J89" s="1" t="s">
        <v>41</v>
      </c>
      <c r="K89" s="1">
        <v>2</v>
      </c>
      <c r="L89" s="1">
        <v>600</v>
      </c>
      <c r="M89" s="1">
        <v>1080</v>
      </c>
      <c r="N89" s="1">
        <v>10</v>
      </c>
      <c r="O89" s="2">
        <v>4</v>
      </c>
      <c r="P89" s="1" t="s">
        <v>37</v>
      </c>
    </row>
    <row r="90" spans="1:16">
      <c r="A90" s="1" t="s">
        <v>215</v>
      </c>
      <c r="B90" s="8">
        <v>45913</v>
      </c>
      <c r="C90" s="9" t="str">
        <f t="shared" si="1"/>
        <v>Sep</v>
      </c>
      <c r="D90" s="1" t="s">
        <v>138</v>
      </c>
      <c r="E90" s="1">
        <v>24</v>
      </c>
      <c r="F90" s="1" t="s">
        <v>66</v>
      </c>
      <c r="G90" s="1" t="s">
        <v>28</v>
      </c>
      <c r="H90" s="1" t="s">
        <v>22</v>
      </c>
      <c r="I90" s="1" t="s">
        <v>46</v>
      </c>
      <c r="J90" s="1" t="s">
        <v>40</v>
      </c>
      <c r="K90" s="1">
        <v>2</v>
      </c>
      <c r="L90" s="1">
        <v>600</v>
      </c>
      <c r="M90" s="1">
        <v>1140</v>
      </c>
      <c r="N90" s="1">
        <v>5</v>
      </c>
      <c r="O90" s="2">
        <v>5</v>
      </c>
      <c r="P90" s="1" t="s">
        <v>35</v>
      </c>
    </row>
    <row r="91" spans="1:16">
      <c r="A91" s="1" t="s">
        <v>216</v>
      </c>
      <c r="B91" s="8">
        <v>45910</v>
      </c>
      <c r="C91" s="9" t="str">
        <f t="shared" si="1"/>
        <v>Sep</v>
      </c>
      <c r="D91" s="1" t="s">
        <v>206</v>
      </c>
      <c r="E91" s="1">
        <v>21</v>
      </c>
      <c r="F91" s="1" t="s">
        <v>63</v>
      </c>
      <c r="G91" s="1" t="s">
        <v>32</v>
      </c>
      <c r="H91" s="1" t="s">
        <v>17</v>
      </c>
      <c r="I91" s="1" t="s">
        <v>48</v>
      </c>
      <c r="J91" s="1" t="s">
        <v>44</v>
      </c>
      <c r="K91" s="1">
        <v>4</v>
      </c>
      <c r="L91" s="1">
        <v>900</v>
      </c>
      <c r="M91" s="1">
        <v>3600</v>
      </c>
      <c r="N91" s="1">
        <v>0</v>
      </c>
      <c r="O91" s="2">
        <v>5</v>
      </c>
      <c r="P91" s="1" t="s">
        <v>35</v>
      </c>
    </row>
    <row r="92" spans="1:16">
      <c r="A92" s="1" t="s">
        <v>217</v>
      </c>
      <c r="B92" s="8">
        <v>45890</v>
      </c>
      <c r="C92" s="9" t="str">
        <f t="shared" si="1"/>
        <v>Aug</v>
      </c>
      <c r="D92" s="1" t="s">
        <v>90</v>
      </c>
      <c r="E92" s="1">
        <v>24</v>
      </c>
      <c r="F92" s="1" t="s">
        <v>63</v>
      </c>
      <c r="G92" s="1" t="s">
        <v>27</v>
      </c>
      <c r="H92" s="1" t="s">
        <v>19</v>
      </c>
      <c r="I92" s="1" t="s">
        <v>49</v>
      </c>
      <c r="J92" s="1" t="s">
        <v>40</v>
      </c>
      <c r="K92" s="1">
        <v>2</v>
      </c>
      <c r="L92" s="1">
        <v>700</v>
      </c>
      <c r="M92" s="1">
        <v>1330</v>
      </c>
      <c r="N92" s="1">
        <v>5</v>
      </c>
      <c r="O92" s="2">
        <v>4</v>
      </c>
      <c r="P92" s="1" t="s">
        <v>37</v>
      </c>
    </row>
    <row r="93" spans="1:16">
      <c r="A93" s="1" t="s">
        <v>218</v>
      </c>
      <c r="B93" s="8">
        <v>45767</v>
      </c>
      <c r="C93" s="9" t="str">
        <f t="shared" si="1"/>
        <v>Apr</v>
      </c>
      <c r="D93" s="1" t="s">
        <v>88</v>
      </c>
      <c r="E93" s="1">
        <v>40</v>
      </c>
      <c r="F93" s="1" t="s">
        <v>66</v>
      </c>
      <c r="G93" s="1" t="s">
        <v>31</v>
      </c>
      <c r="H93" s="1" t="s">
        <v>20</v>
      </c>
      <c r="I93" s="1" t="s">
        <v>49</v>
      </c>
      <c r="J93" s="1" t="s">
        <v>44</v>
      </c>
      <c r="K93" s="1">
        <v>3</v>
      </c>
      <c r="L93" s="1">
        <v>650</v>
      </c>
      <c r="M93" s="1">
        <v>1560</v>
      </c>
      <c r="N93" s="1">
        <v>20</v>
      </c>
      <c r="O93" s="2">
        <v>5</v>
      </c>
      <c r="P93" s="1" t="s">
        <v>38</v>
      </c>
    </row>
    <row r="94" spans="1:16">
      <c r="A94" s="1" t="s">
        <v>219</v>
      </c>
      <c r="B94" s="8">
        <v>45703</v>
      </c>
      <c r="C94" s="9" t="str">
        <f t="shared" si="1"/>
        <v>Feb</v>
      </c>
      <c r="D94" s="1" t="s">
        <v>220</v>
      </c>
      <c r="E94" s="1">
        <v>36</v>
      </c>
      <c r="F94" s="1" t="s">
        <v>66</v>
      </c>
      <c r="G94" s="1" t="s">
        <v>28</v>
      </c>
      <c r="H94" s="1" t="s">
        <v>20</v>
      </c>
      <c r="I94" s="1" t="s">
        <v>49</v>
      </c>
      <c r="J94" s="1" t="s">
        <v>44</v>
      </c>
      <c r="K94" s="1">
        <v>4</v>
      </c>
      <c r="L94" s="1">
        <v>650</v>
      </c>
      <c r="M94" s="1">
        <v>2210</v>
      </c>
      <c r="N94" s="1">
        <v>15</v>
      </c>
      <c r="O94" s="2">
        <v>5</v>
      </c>
      <c r="P94" s="1" t="s">
        <v>38</v>
      </c>
    </row>
    <row r="95" spans="1:16">
      <c r="A95" s="1" t="s">
        <v>221</v>
      </c>
      <c r="B95" s="8">
        <v>45780</v>
      </c>
      <c r="C95" s="9" t="str">
        <f t="shared" si="1"/>
        <v>May</v>
      </c>
      <c r="D95" s="1" t="s">
        <v>209</v>
      </c>
      <c r="E95" s="1">
        <v>26</v>
      </c>
      <c r="F95" s="1" t="s">
        <v>63</v>
      </c>
      <c r="G95" s="1" t="s">
        <v>28</v>
      </c>
      <c r="H95" s="1" t="s">
        <v>23</v>
      </c>
      <c r="I95" s="1" t="s">
        <v>49</v>
      </c>
      <c r="J95" s="1" t="s">
        <v>43</v>
      </c>
      <c r="K95" s="1">
        <v>1</v>
      </c>
      <c r="L95" s="1">
        <v>800</v>
      </c>
      <c r="M95" s="1">
        <v>680</v>
      </c>
      <c r="N95" s="1">
        <v>15</v>
      </c>
      <c r="O95" s="2">
        <v>5</v>
      </c>
      <c r="P95" s="1" t="s">
        <v>35</v>
      </c>
    </row>
    <row r="96" spans="1:16">
      <c r="A96" s="1" t="s">
        <v>222</v>
      </c>
      <c r="B96" s="8">
        <v>45986</v>
      </c>
      <c r="C96" s="9" t="str">
        <f t="shared" si="1"/>
        <v>Nov</v>
      </c>
      <c r="D96" s="1" t="s">
        <v>126</v>
      </c>
      <c r="E96" s="1">
        <v>19</v>
      </c>
      <c r="F96" s="1" t="s">
        <v>66</v>
      </c>
      <c r="G96" s="1" t="s">
        <v>33</v>
      </c>
      <c r="H96" s="1" t="s">
        <v>22</v>
      </c>
      <c r="I96" s="1" t="s">
        <v>46</v>
      </c>
      <c r="J96" s="1" t="s">
        <v>40</v>
      </c>
      <c r="K96" s="1">
        <v>4</v>
      </c>
      <c r="L96" s="1">
        <v>600</v>
      </c>
      <c r="M96" s="1">
        <v>2280</v>
      </c>
      <c r="N96" s="1">
        <v>5</v>
      </c>
      <c r="O96" s="2">
        <v>4</v>
      </c>
      <c r="P96" s="1" t="s">
        <v>35</v>
      </c>
    </row>
    <row r="97" spans="1:16">
      <c r="A97" s="1" t="s">
        <v>223</v>
      </c>
      <c r="B97" s="8">
        <v>45753</v>
      </c>
      <c r="C97" s="9" t="str">
        <f t="shared" si="1"/>
        <v>Apr</v>
      </c>
      <c r="D97" s="1" t="s">
        <v>62</v>
      </c>
      <c r="E97" s="1">
        <v>26</v>
      </c>
      <c r="F97" s="1" t="s">
        <v>66</v>
      </c>
      <c r="G97" s="1" t="s">
        <v>27</v>
      </c>
      <c r="H97" s="1" t="s">
        <v>21</v>
      </c>
      <c r="I97" s="1" t="s">
        <v>50</v>
      </c>
      <c r="J97" s="1" t="s">
        <v>44</v>
      </c>
      <c r="K97" s="1">
        <v>3</v>
      </c>
      <c r="L97" s="1">
        <v>750</v>
      </c>
      <c r="M97" s="1">
        <v>1800</v>
      </c>
      <c r="N97" s="1">
        <v>20</v>
      </c>
      <c r="O97" s="2">
        <v>3</v>
      </c>
      <c r="P97" s="1" t="s">
        <v>38</v>
      </c>
    </row>
    <row r="98" spans="1:16">
      <c r="A98" s="1" t="s">
        <v>224</v>
      </c>
      <c r="B98" s="8">
        <v>45987</v>
      </c>
      <c r="C98" s="9" t="str">
        <f t="shared" si="1"/>
        <v>Nov</v>
      </c>
      <c r="D98" s="1" t="s">
        <v>156</v>
      </c>
      <c r="E98" s="1">
        <v>28</v>
      </c>
      <c r="F98" s="1" t="s">
        <v>66</v>
      </c>
      <c r="G98" s="1" t="s">
        <v>26</v>
      </c>
      <c r="H98" s="1" t="s">
        <v>20</v>
      </c>
      <c r="I98" s="1" t="s">
        <v>49</v>
      </c>
      <c r="J98" s="1" t="s">
        <v>43</v>
      </c>
      <c r="K98" s="1">
        <v>4</v>
      </c>
      <c r="L98" s="1">
        <v>650</v>
      </c>
      <c r="M98" s="1">
        <v>2600</v>
      </c>
      <c r="N98" s="1">
        <v>0</v>
      </c>
      <c r="O98" s="2">
        <v>5</v>
      </c>
      <c r="P98" s="1" t="s">
        <v>35</v>
      </c>
    </row>
    <row r="99" spans="1:16">
      <c r="A99" s="1" t="s">
        <v>225</v>
      </c>
      <c r="B99" s="8">
        <v>45776</v>
      </c>
      <c r="C99" s="9" t="str">
        <f t="shared" si="1"/>
        <v>Apr</v>
      </c>
      <c r="D99" s="1" t="s">
        <v>190</v>
      </c>
      <c r="E99" s="1">
        <v>25</v>
      </c>
      <c r="F99" s="1" t="s">
        <v>63</v>
      </c>
      <c r="G99" s="1" t="s">
        <v>33</v>
      </c>
      <c r="H99" s="1" t="s">
        <v>22</v>
      </c>
      <c r="I99" s="1" t="s">
        <v>46</v>
      </c>
      <c r="J99" s="1" t="s">
        <v>41</v>
      </c>
      <c r="K99" s="1">
        <v>3</v>
      </c>
      <c r="L99" s="1">
        <v>600</v>
      </c>
      <c r="M99" s="1">
        <v>1440</v>
      </c>
      <c r="N99" s="1">
        <v>20</v>
      </c>
      <c r="O99" s="2">
        <v>5</v>
      </c>
      <c r="P99" s="1" t="s">
        <v>38</v>
      </c>
    </row>
    <row r="100" spans="1:16">
      <c r="A100" s="1" t="s">
        <v>226</v>
      </c>
      <c r="B100" s="8">
        <v>46003</v>
      </c>
      <c r="C100" s="9" t="str">
        <f t="shared" si="1"/>
        <v>Dec</v>
      </c>
      <c r="D100" s="1" t="s">
        <v>108</v>
      </c>
      <c r="E100" s="1">
        <v>23</v>
      </c>
      <c r="F100" s="1" t="s">
        <v>66</v>
      </c>
      <c r="G100" s="1" t="s">
        <v>27</v>
      </c>
      <c r="H100" s="1" t="s">
        <v>24</v>
      </c>
      <c r="I100" s="1" t="s">
        <v>49</v>
      </c>
      <c r="J100" s="1" t="s">
        <v>43</v>
      </c>
      <c r="K100" s="1">
        <v>4</v>
      </c>
      <c r="L100" s="1">
        <v>550</v>
      </c>
      <c r="M100" s="1">
        <v>2200</v>
      </c>
      <c r="N100" s="1">
        <v>0</v>
      </c>
      <c r="O100" s="2">
        <v>3</v>
      </c>
      <c r="P100" s="1" t="s">
        <v>35</v>
      </c>
    </row>
    <row r="101" spans="1:16">
      <c r="A101" s="1" t="s">
        <v>227</v>
      </c>
      <c r="B101" s="8">
        <v>45883</v>
      </c>
      <c r="C101" s="9" t="str">
        <f t="shared" si="1"/>
        <v>Aug</v>
      </c>
      <c r="D101" s="1" t="s">
        <v>228</v>
      </c>
      <c r="E101" s="1">
        <v>40</v>
      </c>
      <c r="F101" s="1" t="s">
        <v>66</v>
      </c>
      <c r="G101" s="1" t="s">
        <v>32</v>
      </c>
      <c r="H101" s="1" t="s">
        <v>19</v>
      </c>
      <c r="I101" s="1" t="s">
        <v>49</v>
      </c>
      <c r="J101" s="1" t="s">
        <v>44</v>
      </c>
      <c r="K101" s="1">
        <v>3</v>
      </c>
      <c r="L101" s="1">
        <v>700</v>
      </c>
      <c r="M101" s="1">
        <v>1890</v>
      </c>
      <c r="N101" s="1">
        <v>10</v>
      </c>
      <c r="O101" s="2">
        <v>5</v>
      </c>
      <c r="P101" s="1" t="s">
        <v>35</v>
      </c>
    </row>
    <row r="102" spans="1:16">
      <c r="A102" s="1" t="s">
        <v>229</v>
      </c>
      <c r="B102" s="8">
        <v>45983</v>
      </c>
      <c r="C102" s="9" t="str">
        <f t="shared" si="1"/>
        <v>Nov</v>
      </c>
      <c r="D102" s="1" t="s">
        <v>230</v>
      </c>
      <c r="E102" s="1">
        <v>19</v>
      </c>
      <c r="F102" s="1" t="s">
        <v>66</v>
      </c>
      <c r="G102" s="1" t="s">
        <v>32</v>
      </c>
      <c r="H102" s="1" t="s">
        <v>23</v>
      </c>
      <c r="I102" s="1" t="s">
        <v>49</v>
      </c>
      <c r="J102" s="1" t="s">
        <v>42</v>
      </c>
      <c r="K102" s="1">
        <v>4</v>
      </c>
      <c r="L102" s="1">
        <v>800</v>
      </c>
      <c r="M102" s="1">
        <v>2720</v>
      </c>
      <c r="N102" s="1">
        <v>15</v>
      </c>
      <c r="O102" s="2">
        <v>3</v>
      </c>
      <c r="P102" s="1" t="s">
        <v>37</v>
      </c>
    </row>
    <row r="103" spans="1:16">
      <c r="A103" s="1" t="s">
        <v>231</v>
      </c>
      <c r="B103" s="8">
        <v>45715</v>
      </c>
      <c r="C103" s="9" t="str">
        <f t="shared" si="1"/>
        <v>Feb</v>
      </c>
      <c r="D103" s="1" t="s">
        <v>140</v>
      </c>
      <c r="E103" s="1">
        <v>35</v>
      </c>
      <c r="F103" s="1" t="s">
        <v>66</v>
      </c>
      <c r="G103" s="1" t="s">
        <v>26</v>
      </c>
      <c r="H103" s="1" t="s">
        <v>18</v>
      </c>
      <c r="I103" s="1" t="s">
        <v>47</v>
      </c>
      <c r="J103" s="1" t="s">
        <v>40</v>
      </c>
      <c r="K103" s="1">
        <v>4</v>
      </c>
      <c r="L103" s="1">
        <v>850</v>
      </c>
      <c r="M103" s="1">
        <v>2720</v>
      </c>
      <c r="N103" s="1">
        <v>20</v>
      </c>
      <c r="O103" s="2">
        <v>5</v>
      </c>
      <c r="P103" s="1" t="s">
        <v>38</v>
      </c>
    </row>
    <row r="104" spans="1:16">
      <c r="A104" s="1" t="s">
        <v>232</v>
      </c>
      <c r="B104" s="8">
        <v>45679</v>
      </c>
      <c r="C104" s="9" t="str">
        <f t="shared" si="1"/>
        <v>Jan</v>
      </c>
      <c r="D104" s="1" t="s">
        <v>190</v>
      </c>
      <c r="E104" s="1">
        <v>41</v>
      </c>
      <c r="F104" s="1" t="s">
        <v>63</v>
      </c>
      <c r="G104" s="1" t="s">
        <v>28</v>
      </c>
      <c r="H104" s="1" t="s">
        <v>17</v>
      </c>
      <c r="I104" s="1" t="s">
        <v>48</v>
      </c>
      <c r="J104" s="1" t="s">
        <v>43</v>
      </c>
      <c r="K104" s="1">
        <v>4</v>
      </c>
      <c r="L104" s="1">
        <v>900</v>
      </c>
      <c r="M104" s="1">
        <v>3240</v>
      </c>
      <c r="N104" s="1">
        <v>10</v>
      </c>
      <c r="O104" s="2">
        <v>5</v>
      </c>
      <c r="P104" s="1" t="s">
        <v>35</v>
      </c>
    </row>
    <row r="105" spans="1:16">
      <c r="A105" s="1" t="s">
        <v>233</v>
      </c>
      <c r="B105" s="8">
        <v>45942</v>
      </c>
      <c r="C105" s="9" t="str">
        <f t="shared" si="1"/>
        <v>Oct</v>
      </c>
      <c r="D105" s="1" t="s">
        <v>234</v>
      </c>
      <c r="E105" s="1">
        <v>34</v>
      </c>
      <c r="F105" s="1" t="s">
        <v>66</v>
      </c>
      <c r="G105" s="1" t="s">
        <v>32</v>
      </c>
      <c r="H105" s="1" t="s">
        <v>19</v>
      </c>
      <c r="I105" s="1" t="s">
        <v>49</v>
      </c>
      <c r="J105" s="1" t="s">
        <v>41</v>
      </c>
      <c r="K105" s="1">
        <v>4</v>
      </c>
      <c r="L105" s="1">
        <v>700</v>
      </c>
      <c r="M105" s="1">
        <v>2660</v>
      </c>
      <c r="N105" s="1">
        <v>5</v>
      </c>
      <c r="O105" s="2">
        <v>4</v>
      </c>
      <c r="P105" s="1" t="s">
        <v>37</v>
      </c>
    </row>
    <row r="106" spans="1:16">
      <c r="A106" s="1" t="s">
        <v>235</v>
      </c>
      <c r="B106" s="8">
        <v>45887</v>
      </c>
      <c r="C106" s="9" t="str">
        <f t="shared" si="1"/>
        <v>Aug</v>
      </c>
      <c r="D106" s="1" t="s">
        <v>129</v>
      </c>
      <c r="E106" s="1">
        <v>28</v>
      </c>
      <c r="F106" s="1" t="s">
        <v>66</v>
      </c>
      <c r="G106" s="1" t="s">
        <v>27</v>
      </c>
      <c r="H106" s="1" t="s">
        <v>21</v>
      </c>
      <c r="I106" s="1" t="s">
        <v>50</v>
      </c>
      <c r="J106" s="1" t="s">
        <v>41</v>
      </c>
      <c r="K106" s="1">
        <v>2</v>
      </c>
      <c r="L106" s="1">
        <v>750</v>
      </c>
      <c r="M106" s="1">
        <v>1350</v>
      </c>
      <c r="N106" s="1">
        <v>10</v>
      </c>
      <c r="O106" s="2">
        <v>4</v>
      </c>
      <c r="P106" s="1" t="s">
        <v>36</v>
      </c>
    </row>
    <row r="107" spans="1:16">
      <c r="A107" s="1" t="s">
        <v>236</v>
      </c>
      <c r="B107" s="8">
        <v>45722</v>
      </c>
      <c r="C107" s="9" t="str">
        <f t="shared" si="1"/>
        <v>Mar</v>
      </c>
      <c r="D107" s="1" t="s">
        <v>237</v>
      </c>
      <c r="E107" s="1">
        <v>28</v>
      </c>
      <c r="F107" s="1" t="s">
        <v>63</v>
      </c>
      <c r="G107" s="1" t="s">
        <v>29</v>
      </c>
      <c r="H107" s="1" t="s">
        <v>20</v>
      </c>
      <c r="I107" s="1" t="s">
        <v>49</v>
      </c>
      <c r="J107" s="1" t="s">
        <v>42</v>
      </c>
      <c r="K107" s="1">
        <v>1</v>
      </c>
      <c r="L107" s="1">
        <v>650</v>
      </c>
      <c r="M107" s="1">
        <v>650</v>
      </c>
      <c r="N107" s="1">
        <v>0</v>
      </c>
      <c r="O107" s="2">
        <v>3</v>
      </c>
      <c r="P107" s="1" t="s">
        <v>36</v>
      </c>
    </row>
    <row r="108" spans="1:16">
      <c r="A108" s="1" t="s">
        <v>238</v>
      </c>
      <c r="B108" s="8">
        <v>45728</v>
      </c>
      <c r="C108" s="9" t="str">
        <f t="shared" si="1"/>
        <v>Mar</v>
      </c>
      <c r="D108" s="1" t="s">
        <v>152</v>
      </c>
      <c r="E108" s="1">
        <v>23</v>
      </c>
      <c r="F108" s="1" t="s">
        <v>63</v>
      </c>
      <c r="G108" s="1" t="s">
        <v>33</v>
      </c>
      <c r="H108" s="1" t="s">
        <v>21</v>
      </c>
      <c r="I108" s="1" t="s">
        <v>50</v>
      </c>
      <c r="J108" s="1" t="s">
        <v>41</v>
      </c>
      <c r="K108" s="1">
        <v>1</v>
      </c>
      <c r="L108" s="1">
        <v>750</v>
      </c>
      <c r="M108" s="1">
        <v>675</v>
      </c>
      <c r="N108" s="1">
        <v>10</v>
      </c>
      <c r="O108" s="2">
        <v>3</v>
      </c>
      <c r="P108" s="1" t="s">
        <v>38</v>
      </c>
    </row>
    <row r="109" spans="1:16">
      <c r="A109" s="1" t="s">
        <v>239</v>
      </c>
      <c r="B109" s="8">
        <v>45924</v>
      </c>
      <c r="C109" s="9" t="str">
        <f t="shared" si="1"/>
        <v>Sep</v>
      </c>
      <c r="D109" s="1" t="s">
        <v>86</v>
      </c>
      <c r="E109" s="1">
        <v>28</v>
      </c>
      <c r="F109" s="1" t="s">
        <v>63</v>
      </c>
      <c r="G109" s="1" t="s">
        <v>31</v>
      </c>
      <c r="H109" s="1" t="s">
        <v>18</v>
      </c>
      <c r="I109" s="1" t="s">
        <v>47</v>
      </c>
      <c r="J109" s="1" t="s">
        <v>40</v>
      </c>
      <c r="K109" s="1">
        <v>1</v>
      </c>
      <c r="L109" s="1">
        <v>850</v>
      </c>
      <c r="M109" s="1">
        <v>722.5</v>
      </c>
      <c r="N109" s="1">
        <v>15</v>
      </c>
      <c r="O109" s="2">
        <v>5</v>
      </c>
      <c r="P109" s="1" t="s">
        <v>38</v>
      </c>
    </row>
    <row r="110" spans="1:16">
      <c r="A110" s="1" t="s">
        <v>240</v>
      </c>
      <c r="B110" s="8">
        <v>45839</v>
      </c>
      <c r="C110" s="9" t="str">
        <f t="shared" si="1"/>
        <v>Jul</v>
      </c>
      <c r="D110" s="1" t="s">
        <v>185</v>
      </c>
      <c r="E110" s="1">
        <v>23</v>
      </c>
      <c r="F110" s="1" t="s">
        <v>63</v>
      </c>
      <c r="G110" s="1" t="s">
        <v>28</v>
      </c>
      <c r="H110" s="1" t="s">
        <v>19</v>
      </c>
      <c r="I110" s="1" t="s">
        <v>49</v>
      </c>
      <c r="J110" s="1" t="s">
        <v>40</v>
      </c>
      <c r="K110" s="1">
        <v>1</v>
      </c>
      <c r="L110" s="1">
        <v>700</v>
      </c>
      <c r="M110" s="1">
        <v>595</v>
      </c>
      <c r="N110" s="1">
        <v>15</v>
      </c>
      <c r="O110" s="2">
        <v>5</v>
      </c>
      <c r="P110" s="1" t="s">
        <v>36</v>
      </c>
    </row>
    <row r="111" spans="1:16">
      <c r="A111" s="1" t="s">
        <v>241</v>
      </c>
      <c r="B111" s="8">
        <v>45869</v>
      </c>
      <c r="C111" s="9" t="str">
        <f t="shared" si="1"/>
        <v>Jul</v>
      </c>
      <c r="D111" s="1" t="s">
        <v>122</v>
      </c>
      <c r="E111" s="1">
        <v>41</v>
      </c>
      <c r="F111" s="1" t="s">
        <v>63</v>
      </c>
      <c r="G111" s="1" t="s">
        <v>29</v>
      </c>
      <c r="H111" s="1" t="s">
        <v>19</v>
      </c>
      <c r="I111" s="1" t="s">
        <v>49</v>
      </c>
      <c r="J111" s="1" t="s">
        <v>44</v>
      </c>
      <c r="K111" s="1">
        <v>1</v>
      </c>
      <c r="L111" s="1">
        <v>700</v>
      </c>
      <c r="M111" s="1">
        <v>665</v>
      </c>
      <c r="N111" s="1">
        <v>5</v>
      </c>
      <c r="O111" s="2">
        <v>3</v>
      </c>
      <c r="P111" s="1" t="s">
        <v>38</v>
      </c>
    </row>
    <row r="112" spans="1:16">
      <c r="A112" s="1" t="s">
        <v>242</v>
      </c>
      <c r="B112" s="8">
        <v>45958</v>
      </c>
      <c r="C112" s="9" t="str">
        <f t="shared" si="1"/>
        <v>Oct</v>
      </c>
      <c r="D112" s="1" t="s">
        <v>243</v>
      </c>
      <c r="E112" s="1">
        <v>40</v>
      </c>
      <c r="F112" s="1" t="s">
        <v>63</v>
      </c>
      <c r="G112" s="1" t="s">
        <v>32</v>
      </c>
      <c r="H112" s="1" t="s">
        <v>23</v>
      </c>
      <c r="I112" s="1" t="s">
        <v>49</v>
      </c>
      <c r="J112" s="1" t="s">
        <v>44</v>
      </c>
      <c r="K112" s="1">
        <v>1</v>
      </c>
      <c r="L112" s="1">
        <v>800</v>
      </c>
      <c r="M112" s="1">
        <v>680</v>
      </c>
      <c r="N112" s="1">
        <v>15</v>
      </c>
      <c r="O112" s="2">
        <v>3</v>
      </c>
      <c r="P112" s="1" t="s">
        <v>35</v>
      </c>
    </row>
    <row r="113" spans="1:16">
      <c r="A113" s="1" t="s">
        <v>244</v>
      </c>
      <c r="B113" s="8">
        <v>45967</v>
      </c>
      <c r="C113" s="9" t="str">
        <f t="shared" si="1"/>
        <v>Nov</v>
      </c>
      <c r="D113" s="1" t="s">
        <v>209</v>
      </c>
      <c r="E113" s="1">
        <v>18</v>
      </c>
      <c r="F113" s="1" t="s">
        <v>66</v>
      </c>
      <c r="G113" s="1" t="s">
        <v>26</v>
      </c>
      <c r="H113" s="1" t="s">
        <v>20</v>
      </c>
      <c r="I113" s="1" t="s">
        <v>49</v>
      </c>
      <c r="J113" s="1" t="s">
        <v>41</v>
      </c>
      <c r="K113" s="1">
        <v>3</v>
      </c>
      <c r="L113" s="1">
        <v>650</v>
      </c>
      <c r="M113" s="1">
        <v>1755</v>
      </c>
      <c r="N113" s="1">
        <v>10</v>
      </c>
      <c r="O113" s="2">
        <v>4</v>
      </c>
      <c r="P113" s="1" t="s">
        <v>38</v>
      </c>
    </row>
    <row r="114" spans="1:16">
      <c r="A114" s="1" t="s">
        <v>245</v>
      </c>
      <c r="B114" s="8">
        <v>45869</v>
      </c>
      <c r="C114" s="9" t="str">
        <f t="shared" si="1"/>
        <v>Jul</v>
      </c>
      <c r="D114" s="1" t="s">
        <v>88</v>
      </c>
      <c r="E114" s="1">
        <v>21</v>
      </c>
      <c r="F114" s="1" t="s">
        <v>66</v>
      </c>
      <c r="G114" s="1" t="s">
        <v>26</v>
      </c>
      <c r="H114" s="1" t="s">
        <v>19</v>
      </c>
      <c r="I114" s="1" t="s">
        <v>49</v>
      </c>
      <c r="J114" s="1" t="s">
        <v>44</v>
      </c>
      <c r="K114" s="1">
        <v>1</v>
      </c>
      <c r="L114" s="1">
        <v>700</v>
      </c>
      <c r="M114" s="1">
        <v>630</v>
      </c>
      <c r="N114" s="1">
        <v>10</v>
      </c>
      <c r="O114" s="2">
        <v>5</v>
      </c>
      <c r="P114" s="1" t="s">
        <v>36</v>
      </c>
    </row>
    <row r="115" spans="1:16">
      <c r="A115" s="1" t="s">
        <v>246</v>
      </c>
      <c r="B115" s="8">
        <v>45658</v>
      </c>
      <c r="C115" s="9" t="str">
        <f t="shared" si="1"/>
        <v>Jan</v>
      </c>
      <c r="D115" s="1" t="s">
        <v>247</v>
      </c>
      <c r="E115" s="1">
        <v>35</v>
      </c>
      <c r="F115" s="1" t="s">
        <v>66</v>
      </c>
      <c r="G115" s="1" t="s">
        <v>26</v>
      </c>
      <c r="H115" s="1" t="s">
        <v>17</v>
      </c>
      <c r="I115" s="1" t="s">
        <v>48</v>
      </c>
      <c r="J115" s="1" t="s">
        <v>40</v>
      </c>
      <c r="K115" s="1">
        <v>2</v>
      </c>
      <c r="L115" s="1">
        <v>900</v>
      </c>
      <c r="M115" s="1">
        <v>1440</v>
      </c>
      <c r="N115" s="1">
        <v>20</v>
      </c>
      <c r="O115" s="2">
        <v>4</v>
      </c>
      <c r="P115" s="1" t="s">
        <v>37</v>
      </c>
    </row>
    <row r="116" spans="1:16">
      <c r="A116" s="1" t="s">
        <v>248</v>
      </c>
      <c r="B116" s="8">
        <v>45728</v>
      </c>
      <c r="C116" s="9" t="str">
        <f t="shared" si="1"/>
        <v>Mar</v>
      </c>
      <c r="D116" s="1" t="s">
        <v>76</v>
      </c>
      <c r="E116" s="1">
        <v>43</v>
      </c>
      <c r="F116" s="1" t="s">
        <v>66</v>
      </c>
      <c r="G116" s="1" t="s">
        <v>29</v>
      </c>
      <c r="H116" s="1" t="s">
        <v>22</v>
      </c>
      <c r="I116" s="1" t="s">
        <v>46</v>
      </c>
      <c r="J116" s="1" t="s">
        <v>41</v>
      </c>
      <c r="K116" s="1">
        <v>3</v>
      </c>
      <c r="L116" s="1">
        <v>600</v>
      </c>
      <c r="M116" s="1">
        <v>1620</v>
      </c>
      <c r="N116" s="1">
        <v>10</v>
      </c>
      <c r="O116" s="2">
        <v>5</v>
      </c>
      <c r="P116" s="1" t="s">
        <v>35</v>
      </c>
    </row>
    <row r="117" spans="1:16">
      <c r="A117" s="1" t="s">
        <v>249</v>
      </c>
      <c r="B117" s="8">
        <v>45997</v>
      </c>
      <c r="C117" s="9" t="str">
        <f t="shared" si="1"/>
        <v>Dec</v>
      </c>
      <c r="D117" s="1" t="s">
        <v>250</v>
      </c>
      <c r="E117" s="1">
        <v>29</v>
      </c>
      <c r="F117" s="1" t="s">
        <v>66</v>
      </c>
      <c r="G117" s="1" t="s">
        <v>30</v>
      </c>
      <c r="H117" s="1" t="s">
        <v>23</v>
      </c>
      <c r="I117" s="1" t="s">
        <v>49</v>
      </c>
      <c r="J117" s="1" t="s">
        <v>41</v>
      </c>
      <c r="K117" s="1">
        <v>3</v>
      </c>
      <c r="L117" s="1">
        <v>800</v>
      </c>
      <c r="M117" s="1">
        <v>2040</v>
      </c>
      <c r="N117" s="1">
        <v>15</v>
      </c>
      <c r="O117" s="2">
        <v>3</v>
      </c>
      <c r="P117" s="1" t="s">
        <v>37</v>
      </c>
    </row>
    <row r="118" spans="1:16">
      <c r="A118" s="1" t="s">
        <v>251</v>
      </c>
      <c r="B118" s="8">
        <v>45745</v>
      </c>
      <c r="C118" s="9" t="str">
        <f t="shared" si="1"/>
        <v>Mar</v>
      </c>
      <c r="D118" s="1" t="s">
        <v>252</v>
      </c>
      <c r="E118" s="1">
        <v>37</v>
      </c>
      <c r="F118" s="1" t="s">
        <v>66</v>
      </c>
      <c r="G118" s="1" t="s">
        <v>32</v>
      </c>
      <c r="H118" s="1" t="s">
        <v>20</v>
      </c>
      <c r="I118" s="1" t="s">
        <v>49</v>
      </c>
      <c r="J118" s="1" t="s">
        <v>43</v>
      </c>
      <c r="K118" s="1">
        <v>4</v>
      </c>
      <c r="L118" s="1">
        <v>650</v>
      </c>
      <c r="M118" s="1">
        <v>2080</v>
      </c>
      <c r="N118" s="1">
        <v>20</v>
      </c>
      <c r="O118" s="2">
        <v>5</v>
      </c>
      <c r="P118" s="1" t="s">
        <v>36</v>
      </c>
    </row>
    <row r="119" spans="1:16">
      <c r="A119" s="1" t="s">
        <v>253</v>
      </c>
      <c r="B119" s="8">
        <v>45951</v>
      </c>
      <c r="C119" s="9" t="str">
        <f t="shared" si="1"/>
        <v>Oct</v>
      </c>
      <c r="D119" s="1" t="s">
        <v>112</v>
      </c>
      <c r="E119" s="1">
        <v>29</v>
      </c>
      <c r="F119" s="1" t="s">
        <v>66</v>
      </c>
      <c r="G119" s="1" t="s">
        <v>32</v>
      </c>
      <c r="H119" s="1" t="s">
        <v>22</v>
      </c>
      <c r="I119" s="1" t="s">
        <v>46</v>
      </c>
      <c r="J119" s="1" t="s">
        <v>40</v>
      </c>
      <c r="K119" s="1">
        <v>2</v>
      </c>
      <c r="L119" s="1">
        <v>600</v>
      </c>
      <c r="M119" s="1">
        <v>1020</v>
      </c>
      <c r="N119" s="1">
        <v>15</v>
      </c>
      <c r="O119" s="2">
        <v>4</v>
      </c>
      <c r="P119" s="1" t="s">
        <v>38</v>
      </c>
    </row>
    <row r="120" spans="1:16">
      <c r="A120" s="1" t="s">
        <v>254</v>
      </c>
      <c r="B120" s="8">
        <v>45823</v>
      </c>
      <c r="C120" s="9" t="str">
        <f t="shared" si="1"/>
        <v>Jun</v>
      </c>
      <c r="D120" s="1" t="s">
        <v>152</v>
      </c>
      <c r="E120" s="1">
        <v>20</v>
      </c>
      <c r="F120" s="1" t="s">
        <v>63</v>
      </c>
      <c r="G120" s="1" t="s">
        <v>27</v>
      </c>
      <c r="H120" s="1" t="s">
        <v>18</v>
      </c>
      <c r="I120" s="1" t="s">
        <v>47</v>
      </c>
      <c r="J120" s="1" t="s">
        <v>43</v>
      </c>
      <c r="K120" s="1">
        <v>4</v>
      </c>
      <c r="L120" s="1">
        <v>850</v>
      </c>
      <c r="M120" s="1">
        <v>2890</v>
      </c>
      <c r="N120" s="1">
        <v>15</v>
      </c>
      <c r="O120" s="2">
        <v>3</v>
      </c>
      <c r="P120" s="1" t="s">
        <v>37</v>
      </c>
    </row>
    <row r="121" spans="1:16">
      <c r="A121" s="1" t="s">
        <v>255</v>
      </c>
      <c r="B121" s="8">
        <v>45689</v>
      </c>
      <c r="C121" s="9" t="str">
        <f t="shared" si="1"/>
        <v>Feb</v>
      </c>
      <c r="D121" s="1" t="s">
        <v>256</v>
      </c>
      <c r="E121" s="1">
        <v>19</v>
      </c>
      <c r="F121" s="1" t="s">
        <v>66</v>
      </c>
      <c r="G121" s="1" t="s">
        <v>27</v>
      </c>
      <c r="H121" s="1" t="s">
        <v>20</v>
      </c>
      <c r="I121" s="1" t="s">
        <v>49</v>
      </c>
      <c r="J121" s="1" t="s">
        <v>44</v>
      </c>
      <c r="K121" s="1">
        <v>3</v>
      </c>
      <c r="L121" s="1">
        <v>650</v>
      </c>
      <c r="M121" s="1">
        <v>1560</v>
      </c>
      <c r="N121" s="1">
        <v>20</v>
      </c>
      <c r="O121" s="2">
        <v>4</v>
      </c>
      <c r="P121" s="1" t="s">
        <v>36</v>
      </c>
    </row>
    <row r="122" spans="1:16">
      <c r="A122" s="1" t="s">
        <v>257</v>
      </c>
      <c r="B122" s="8">
        <v>45858</v>
      </c>
      <c r="C122" s="9" t="str">
        <f t="shared" si="1"/>
        <v>Jul</v>
      </c>
      <c r="D122" s="1" t="s">
        <v>108</v>
      </c>
      <c r="E122" s="1">
        <v>38</v>
      </c>
      <c r="F122" s="1" t="s">
        <v>66</v>
      </c>
      <c r="G122" s="1" t="s">
        <v>30</v>
      </c>
      <c r="H122" s="1" t="s">
        <v>22</v>
      </c>
      <c r="I122" s="1" t="s">
        <v>46</v>
      </c>
      <c r="J122" s="1" t="s">
        <v>42</v>
      </c>
      <c r="K122" s="1">
        <v>2</v>
      </c>
      <c r="L122" s="1">
        <v>600</v>
      </c>
      <c r="M122" s="1">
        <v>1020</v>
      </c>
      <c r="N122" s="1">
        <v>15</v>
      </c>
      <c r="O122" s="2">
        <v>4</v>
      </c>
      <c r="P122" s="1" t="s">
        <v>35</v>
      </c>
    </row>
    <row r="123" spans="1:16">
      <c r="A123" s="1" t="s">
        <v>258</v>
      </c>
      <c r="B123" s="8">
        <v>45750</v>
      </c>
      <c r="C123" s="9" t="str">
        <f t="shared" si="1"/>
        <v>Apr</v>
      </c>
      <c r="D123" s="1" t="s">
        <v>194</v>
      </c>
      <c r="E123" s="1">
        <v>25</v>
      </c>
      <c r="F123" s="1" t="s">
        <v>66</v>
      </c>
      <c r="G123" s="1" t="s">
        <v>33</v>
      </c>
      <c r="H123" s="1" t="s">
        <v>17</v>
      </c>
      <c r="I123" s="1" t="s">
        <v>48</v>
      </c>
      <c r="J123" s="1" t="s">
        <v>40</v>
      </c>
      <c r="K123" s="1">
        <v>1</v>
      </c>
      <c r="L123" s="1">
        <v>900</v>
      </c>
      <c r="M123" s="1">
        <v>765</v>
      </c>
      <c r="N123" s="1">
        <v>15</v>
      </c>
      <c r="O123" s="2">
        <v>3</v>
      </c>
      <c r="P123" s="1" t="s">
        <v>36</v>
      </c>
    </row>
    <row r="124" spans="1:16">
      <c r="A124" s="1" t="s">
        <v>259</v>
      </c>
      <c r="B124" s="8">
        <v>45854</v>
      </c>
      <c r="C124" s="9" t="str">
        <f t="shared" si="1"/>
        <v>Jul</v>
      </c>
      <c r="D124" s="1" t="s">
        <v>172</v>
      </c>
      <c r="E124" s="1">
        <v>32</v>
      </c>
      <c r="F124" s="1" t="s">
        <v>66</v>
      </c>
      <c r="G124" s="1" t="s">
        <v>31</v>
      </c>
      <c r="H124" s="1" t="s">
        <v>23</v>
      </c>
      <c r="I124" s="1" t="s">
        <v>49</v>
      </c>
      <c r="J124" s="1" t="s">
        <v>40</v>
      </c>
      <c r="K124" s="1">
        <v>3</v>
      </c>
      <c r="L124" s="1">
        <v>800</v>
      </c>
      <c r="M124" s="1">
        <v>2280</v>
      </c>
      <c r="N124" s="1">
        <v>5</v>
      </c>
      <c r="O124" s="2">
        <v>4</v>
      </c>
      <c r="P124" s="1" t="s">
        <v>35</v>
      </c>
    </row>
    <row r="125" spans="1:16">
      <c r="A125" s="1" t="s">
        <v>260</v>
      </c>
      <c r="B125" s="8">
        <v>45737</v>
      </c>
      <c r="C125" s="9" t="str">
        <f t="shared" si="1"/>
        <v>Mar</v>
      </c>
      <c r="D125" s="1" t="s">
        <v>234</v>
      </c>
      <c r="E125" s="1">
        <v>43</v>
      </c>
      <c r="F125" s="1" t="s">
        <v>63</v>
      </c>
      <c r="G125" s="1" t="s">
        <v>29</v>
      </c>
      <c r="H125" s="1" t="s">
        <v>24</v>
      </c>
      <c r="I125" s="1" t="s">
        <v>49</v>
      </c>
      <c r="J125" s="1" t="s">
        <v>41</v>
      </c>
      <c r="K125" s="1">
        <v>4</v>
      </c>
      <c r="L125" s="1">
        <v>550</v>
      </c>
      <c r="M125" s="1">
        <v>2090</v>
      </c>
      <c r="N125" s="1">
        <v>5</v>
      </c>
      <c r="O125" s="2">
        <v>5</v>
      </c>
      <c r="P125" s="1" t="s">
        <v>37</v>
      </c>
    </row>
    <row r="126" spans="1:16">
      <c r="A126" s="1" t="s">
        <v>261</v>
      </c>
      <c r="B126" s="8">
        <v>45724</v>
      </c>
      <c r="C126" s="9" t="str">
        <f t="shared" si="1"/>
        <v>Mar</v>
      </c>
      <c r="D126" s="1" t="s">
        <v>262</v>
      </c>
      <c r="E126" s="1">
        <v>34</v>
      </c>
      <c r="F126" s="1" t="s">
        <v>66</v>
      </c>
      <c r="G126" s="1" t="s">
        <v>28</v>
      </c>
      <c r="H126" s="1" t="s">
        <v>23</v>
      </c>
      <c r="I126" s="1" t="s">
        <v>49</v>
      </c>
      <c r="J126" s="1" t="s">
        <v>42</v>
      </c>
      <c r="K126" s="1">
        <v>1</v>
      </c>
      <c r="L126" s="1">
        <v>800</v>
      </c>
      <c r="M126" s="1">
        <v>800</v>
      </c>
      <c r="N126" s="1">
        <v>0</v>
      </c>
      <c r="O126" s="2">
        <v>5</v>
      </c>
      <c r="P126" s="1" t="s">
        <v>38</v>
      </c>
    </row>
    <row r="127" spans="1:16">
      <c r="A127" s="1" t="s">
        <v>263</v>
      </c>
      <c r="B127" s="8">
        <v>46003</v>
      </c>
      <c r="C127" s="9" t="str">
        <f t="shared" si="1"/>
        <v>Dec</v>
      </c>
      <c r="D127" s="1" t="s">
        <v>237</v>
      </c>
      <c r="E127" s="1">
        <v>39</v>
      </c>
      <c r="F127" s="1" t="s">
        <v>66</v>
      </c>
      <c r="G127" s="1" t="s">
        <v>27</v>
      </c>
      <c r="H127" s="1" t="s">
        <v>17</v>
      </c>
      <c r="I127" s="1" t="s">
        <v>48</v>
      </c>
      <c r="J127" s="1" t="s">
        <v>40</v>
      </c>
      <c r="K127" s="1">
        <v>3</v>
      </c>
      <c r="L127" s="1">
        <v>900</v>
      </c>
      <c r="M127" s="1">
        <v>2430</v>
      </c>
      <c r="N127" s="1">
        <v>10</v>
      </c>
      <c r="O127" s="2">
        <v>5</v>
      </c>
      <c r="P127" s="1" t="s">
        <v>36</v>
      </c>
    </row>
    <row r="128" spans="1:16">
      <c r="A128" s="1" t="s">
        <v>264</v>
      </c>
      <c r="B128" s="8">
        <v>46022</v>
      </c>
      <c r="C128" s="9" t="str">
        <f t="shared" si="1"/>
        <v>Dec</v>
      </c>
      <c r="D128" s="1" t="s">
        <v>198</v>
      </c>
      <c r="E128" s="1">
        <v>36</v>
      </c>
      <c r="F128" s="1" t="s">
        <v>63</v>
      </c>
      <c r="G128" s="1" t="s">
        <v>29</v>
      </c>
      <c r="H128" s="1" t="s">
        <v>21</v>
      </c>
      <c r="I128" s="1" t="s">
        <v>50</v>
      </c>
      <c r="J128" s="1" t="s">
        <v>44</v>
      </c>
      <c r="K128" s="1">
        <v>3</v>
      </c>
      <c r="L128" s="1">
        <v>750</v>
      </c>
      <c r="M128" s="1">
        <v>2025</v>
      </c>
      <c r="N128" s="1">
        <v>10</v>
      </c>
      <c r="O128" s="2">
        <v>4</v>
      </c>
      <c r="P128" s="1" t="s">
        <v>36</v>
      </c>
    </row>
    <row r="129" spans="1:16">
      <c r="A129" s="1" t="s">
        <v>265</v>
      </c>
      <c r="B129" s="8">
        <v>45785</v>
      </c>
      <c r="C129" s="9" t="str">
        <f t="shared" si="1"/>
        <v>May</v>
      </c>
      <c r="D129" s="1" t="s">
        <v>266</v>
      </c>
      <c r="E129" s="1">
        <v>24</v>
      </c>
      <c r="F129" s="1" t="s">
        <v>63</v>
      </c>
      <c r="G129" s="1" t="s">
        <v>32</v>
      </c>
      <c r="H129" s="1" t="s">
        <v>20</v>
      </c>
      <c r="I129" s="1" t="s">
        <v>49</v>
      </c>
      <c r="J129" s="1" t="s">
        <v>42</v>
      </c>
      <c r="K129" s="1">
        <v>2</v>
      </c>
      <c r="L129" s="1">
        <v>650</v>
      </c>
      <c r="M129" s="1">
        <v>1170</v>
      </c>
      <c r="N129" s="1">
        <v>10</v>
      </c>
      <c r="O129" s="2">
        <v>5</v>
      </c>
      <c r="P129" s="1" t="s">
        <v>36</v>
      </c>
    </row>
    <row r="130" spans="1:16">
      <c r="A130" s="1" t="s">
        <v>267</v>
      </c>
      <c r="B130" s="8">
        <v>45753</v>
      </c>
      <c r="C130" s="9" t="str">
        <f t="shared" si="1"/>
        <v>Apr</v>
      </c>
      <c r="D130" s="1" t="s">
        <v>268</v>
      </c>
      <c r="E130" s="1">
        <v>38</v>
      </c>
      <c r="F130" s="1" t="s">
        <v>63</v>
      </c>
      <c r="G130" s="1" t="s">
        <v>32</v>
      </c>
      <c r="H130" s="1" t="s">
        <v>24</v>
      </c>
      <c r="I130" s="1" t="s">
        <v>49</v>
      </c>
      <c r="J130" s="1" t="s">
        <v>42</v>
      </c>
      <c r="K130" s="1">
        <v>3</v>
      </c>
      <c r="L130" s="1">
        <v>550</v>
      </c>
      <c r="M130" s="1">
        <v>1650</v>
      </c>
      <c r="N130" s="1">
        <v>0</v>
      </c>
      <c r="O130" s="2">
        <v>5</v>
      </c>
      <c r="P130" s="1" t="s">
        <v>37</v>
      </c>
    </row>
    <row r="131" spans="1:16">
      <c r="A131" s="1" t="s">
        <v>269</v>
      </c>
      <c r="B131" s="8">
        <v>45797</v>
      </c>
      <c r="C131" s="9" t="str">
        <f t="shared" ref="C131:C194" si="2">TEXT(B131,"mmm")</f>
        <v>May</v>
      </c>
      <c r="D131" s="1" t="s">
        <v>196</v>
      </c>
      <c r="E131" s="1">
        <v>36</v>
      </c>
      <c r="F131" s="1" t="s">
        <v>66</v>
      </c>
      <c r="G131" s="1" t="s">
        <v>32</v>
      </c>
      <c r="H131" s="1" t="s">
        <v>24</v>
      </c>
      <c r="I131" s="1" t="s">
        <v>49</v>
      </c>
      <c r="J131" s="1" t="s">
        <v>41</v>
      </c>
      <c r="K131" s="1">
        <v>4</v>
      </c>
      <c r="L131" s="1">
        <v>550</v>
      </c>
      <c r="M131" s="1">
        <v>1870</v>
      </c>
      <c r="N131" s="1">
        <v>15</v>
      </c>
      <c r="O131" s="2">
        <v>5</v>
      </c>
      <c r="P131" s="1" t="s">
        <v>38</v>
      </c>
    </row>
    <row r="132" spans="1:16">
      <c r="A132" s="1" t="s">
        <v>270</v>
      </c>
      <c r="B132" s="8">
        <v>45688</v>
      </c>
      <c r="C132" s="9" t="str">
        <f t="shared" si="2"/>
        <v>Jan</v>
      </c>
      <c r="D132" s="1" t="s">
        <v>271</v>
      </c>
      <c r="E132" s="1">
        <v>27</v>
      </c>
      <c r="F132" s="1" t="s">
        <v>66</v>
      </c>
      <c r="G132" s="1" t="s">
        <v>26</v>
      </c>
      <c r="H132" s="1" t="s">
        <v>19</v>
      </c>
      <c r="I132" s="1" t="s">
        <v>49</v>
      </c>
      <c r="J132" s="1" t="s">
        <v>40</v>
      </c>
      <c r="K132" s="1">
        <v>2</v>
      </c>
      <c r="L132" s="1">
        <v>700</v>
      </c>
      <c r="M132" s="1">
        <v>1400</v>
      </c>
      <c r="N132" s="1">
        <v>0</v>
      </c>
      <c r="O132" s="2">
        <v>3</v>
      </c>
      <c r="P132" s="1" t="s">
        <v>36</v>
      </c>
    </row>
    <row r="133" spans="1:16">
      <c r="A133" s="1" t="s">
        <v>272</v>
      </c>
      <c r="B133" s="8">
        <v>45697</v>
      </c>
      <c r="C133" s="9" t="str">
        <f t="shared" si="2"/>
        <v>Feb</v>
      </c>
      <c r="D133" s="1" t="s">
        <v>82</v>
      </c>
      <c r="E133" s="1">
        <v>33</v>
      </c>
      <c r="F133" s="1" t="s">
        <v>66</v>
      </c>
      <c r="G133" s="1" t="s">
        <v>27</v>
      </c>
      <c r="H133" s="1" t="s">
        <v>24</v>
      </c>
      <c r="I133" s="1" t="s">
        <v>49</v>
      </c>
      <c r="J133" s="1" t="s">
        <v>42</v>
      </c>
      <c r="K133" s="1">
        <v>4</v>
      </c>
      <c r="L133" s="1">
        <v>550</v>
      </c>
      <c r="M133" s="1">
        <v>1870</v>
      </c>
      <c r="N133" s="1">
        <v>15</v>
      </c>
      <c r="O133" s="2">
        <v>5</v>
      </c>
      <c r="P133" s="1" t="s">
        <v>38</v>
      </c>
    </row>
    <row r="134" spans="1:16">
      <c r="A134" s="1" t="s">
        <v>273</v>
      </c>
      <c r="B134" s="8">
        <v>45912</v>
      </c>
      <c r="C134" s="9" t="str">
        <f t="shared" si="2"/>
        <v>Sep</v>
      </c>
      <c r="D134" s="1" t="s">
        <v>188</v>
      </c>
      <c r="E134" s="1">
        <v>32</v>
      </c>
      <c r="F134" s="1" t="s">
        <v>66</v>
      </c>
      <c r="G134" s="1" t="s">
        <v>26</v>
      </c>
      <c r="H134" s="1" t="s">
        <v>18</v>
      </c>
      <c r="I134" s="1" t="s">
        <v>47</v>
      </c>
      <c r="J134" s="1" t="s">
        <v>40</v>
      </c>
      <c r="K134" s="1">
        <v>4</v>
      </c>
      <c r="L134" s="1">
        <v>850</v>
      </c>
      <c r="M134" s="1">
        <v>2890</v>
      </c>
      <c r="N134" s="1">
        <v>15</v>
      </c>
      <c r="O134" s="2">
        <v>3</v>
      </c>
      <c r="P134" s="1" t="s">
        <v>35</v>
      </c>
    </row>
    <row r="135" spans="1:16">
      <c r="A135" s="1" t="s">
        <v>274</v>
      </c>
      <c r="B135" s="8">
        <v>45902</v>
      </c>
      <c r="C135" s="9" t="str">
        <f t="shared" si="2"/>
        <v>Sep</v>
      </c>
      <c r="D135" s="1" t="s">
        <v>275</v>
      </c>
      <c r="E135" s="1">
        <v>33</v>
      </c>
      <c r="F135" s="1" t="s">
        <v>63</v>
      </c>
      <c r="G135" s="1" t="s">
        <v>28</v>
      </c>
      <c r="H135" s="1" t="s">
        <v>21</v>
      </c>
      <c r="I135" s="1" t="s">
        <v>50</v>
      </c>
      <c r="J135" s="1" t="s">
        <v>43</v>
      </c>
      <c r="K135" s="1">
        <v>1</v>
      </c>
      <c r="L135" s="1">
        <v>750</v>
      </c>
      <c r="M135" s="1">
        <v>712.5</v>
      </c>
      <c r="N135" s="1">
        <v>5</v>
      </c>
      <c r="O135" s="2">
        <v>4</v>
      </c>
      <c r="P135" s="1" t="s">
        <v>35</v>
      </c>
    </row>
    <row r="136" spans="1:16">
      <c r="A136" s="1" t="s">
        <v>276</v>
      </c>
      <c r="B136" s="8">
        <v>45694</v>
      </c>
      <c r="C136" s="9" t="str">
        <f t="shared" si="2"/>
        <v>Feb</v>
      </c>
      <c r="D136" s="1" t="s">
        <v>76</v>
      </c>
      <c r="E136" s="1">
        <v>23</v>
      </c>
      <c r="F136" s="1" t="s">
        <v>63</v>
      </c>
      <c r="G136" s="1" t="s">
        <v>29</v>
      </c>
      <c r="H136" s="1" t="s">
        <v>20</v>
      </c>
      <c r="I136" s="1" t="s">
        <v>49</v>
      </c>
      <c r="J136" s="1" t="s">
        <v>43</v>
      </c>
      <c r="K136" s="1">
        <v>2</v>
      </c>
      <c r="L136" s="1">
        <v>650</v>
      </c>
      <c r="M136" s="1">
        <v>1235</v>
      </c>
      <c r="N136" s="1">
        <v>5</v>
      </c>
      <c r="O136" s="2">
        <v>4</v>
      </c>
      <c r="P136" s="1" t="s">
        <v>35</v>
      </c>
    </row>
    <row r="137" spans="1:16">
      <c r="A137" s="1" t="s">
        <v>277</v>
      </c>
      <c r="B137" s="8">
        <v>45681</v>
      </c>
      <c r="C137" s="9" t="str">
        <f t="shared" si="2"/>
        <v>Jan</v>
      </c>
      <c r="D137" s="1" t="s">
        <v>62</v>
      </c>
      <c r="E137" s="1">
        <v>24</v>
      </c>
      <c r="F137" s="1" t="s">
        <v>63</v>
      </c>
      <c r="G137" s="1" t="s">
        <v>31</v>
      </c>
      <c r="H137" s="1" t="s">
        <v>18</v>
      </c>
      <c r="I137" s="1" t="s">
        <v>47</v>
      </c>
      <c r="J137" s="1" t="s">
        <v>44</v>
      </c>
      <c r="K137" s="1">
        <v>3</v>
      </c>
      <c r="L137" s="1">
        <v>850</v>
      </c>
      <c r="M137" s="1">
        <v>2422.5</v>
      </c>
      <c r="N137" s="1">
        <v>5</v>
      </c>
      <c r="O137" s="2">
        <v>3</v>
      </c>
      <c r="P137" s="1" t="s">
        <v>35</v>
      </c>
    </row>
    <row r="138" spans="1:16">
      <c r="A138" s="1" t="s">
        <v>278</v>
      </c>
      <c r="B138" s="8">
        <v>45979</v>
      </c>
      <c r="C138" s="9" t="str">
        <f t="shared" si="2"/>
        <v>Nov</v>
      </c>
      <c r="D138" s="1" t="s">
        <v>279</v>
      </c>
      <c r="E138" s="1">
        <v>30</v>
      </c>
      <c r="F138" s="1" t="s">
        <v>63</v>
      </c>
      <c r="G138" s="1" t="s">
        <v>33</v>
      </c>
      <c r="H138" s="1" t="s">
        <v>18</v>
      </c>
      <c r="I138" s="1" t="s">
        <v>47</v>
      </c>
      <c r="J138" s="1" t="s">
        <v>43</v>
      </c>
      <c r="K138" s="1">
        <v>3</v>
      </c>
      <c r="L138" s="1">
        <v>850</v>
      </c>
      <c r="M138" s="1">
        <v>2040</v>
      </c>
      <c r="N138" s="1">
        <v>20</v>
      </c>
      <c r="O138" s="2">
        <v>5</v>
      </c>
      <c r="P138" s="1" t="s">
        <v>36</v>
      </c>
    </row>
    <row r="139" spans="1:16">
      <c r="A139" s="1" t="s">
        <v>280</v>
      </c>
      <c r="B139" s="8">
        <v>45882</v>
      </c>
      <c r="C139" s="9" t="str">
        <f t="shared" si="2"/>
        <v>Aug</v>
      </c>
      <c r="D139" s="1" t="s">
        <v>154</v>
      </c>
      <c r="E139" s="1">
        <v>21</v>
      </c>
      <c r="F139" s="1" t="s">
        <v>66</v>
      </c>
      <c r="G139" s="1" t="s">
        <v>29</v>
      </c>
      <c r="H139" s="1" t="s">
        <v>18</v>
      </c>
      <c r="I139" s="1" t="s">
        <v>47</v>
      </c>
      <c r="J139" s="1" t="s">
        <v>40</v>
      </c>
      <c r="K139" s="1">
        <v>1</v>
      </c>
      <c r="L139" s="1">
        <v>850</v>
      </c>
      <c r="M139" s="1">
        <v>722.5</v>
      </c>
      <c r="N139" s="1">
        <v>15</v>
      </c>
      <c r="O139" s="2">
        <v>4</v>
      </c>
      <c r="P139" s="1" t="s">
        <v>36</v>
      </c>
    </row>
    <row r="140" spans="1:16">
      <c r="A140" s="1" t="s">
        <v>281</v>
      </c>
      <c r="B140" s="8">
        <v>45680</v>
      </c>
      <c r="C140" s="9" t="str">
        <f t="shared" si="2"/>
        <v>Jan</v>
      </c>
      <c r="D140" s="1" t="s">
        <v>282</v>
      </c>
      <c r="E140" s="1">
        <v>41</v>
      </c>
      <c r="F140" s="1" t="s">
        <v>63</v>
      </c>
      <c r="G140" s="1" t="s">
        <v>31</v>
      </c>
      <c r="H140" s="1" t="s">
        <v>20</v>
      </c>
      <c r="I140" s="1" t="s">
        <v>49</v>
      </c>
      <c r="J140" s="1" t="s">
        <v>44</v>
      </c>
      <c r="K140" s="1">
        <v>4</v>
      </c>
      <c r="L140" s="1">
        <v>650</v>
      </c>
      <c r="M140" s="1">
        <v>2600</v>
      </c>
      <c r="N140" s="1">
        <v>0</v>
      </c>
      <c r="O140" s="2">
        <v>5</v>
      </c>
      <c r="P140" s="1" t="s">
        <v>38</v>
      </c>
    </row>
    <row r="141" spans="1:16">
      <c r="A141" s="1" t="s">
        <v>283</v>
      </c>
      <c r="B141" s="8">
        <v>45853</v>
      </c>
      <c r="C141" s="9" t="str">
        <f t="shared" si="2"/>
        <v>Jul</v>
      </c>
      <c r="D141" s="1" t="s">
        <v>167</v>
      </c>
      <c r="E141" s="1">
        <v>28</v>
      </c>
      <c r="F141" s="1" t="s">
        <v>66</v>
      </c>
      <c r="G141" s="1" t="s">
        <v>33</v>
      </c>
      <c r="H141" s="1" t="s">
        <v>24</v>
      </c>
      <c r="I141" s="1" t="s">
        <v>49</v>
      </c>
      <c r="J141" s="1" t="s">
        <v>41</v>
      </c>
      <c r="K141" s="1">
        <v>2</v>
      </c>
      <c r="L141" s="1">
        <v>550</v>
      </c>
      <c r="M141" s="1">
        <v>935</v>
      </c>
      <c r="N141" s="1">
        <v>15</v>
      </c>
      <c r="O141" s="2">
        <v>5</v>
      </c>
      <c r="P141" s="1" t="s">
        <v>35</v>
      </c>
    </row>
    <row r="142" spans="1:16">
      <c r="A142" s="1" t="s">
        <v>284</v>
      </c>
      <c r="B142" s="8">
        <v>45904</v>
      </c>
      <c r="C142" s="9" t="str">
        <f t="shared" si="2"/>
        <v>Sep</v>
      </c>
      <c r="D142" s="1" t="s">
        <v>138</v>
      </c>
      <c r="E142" s="1">
        <v>35</v>
      </c>
      <c r="F142" s="1" t="s">
        <v>63</v>
      </c>
      <c r="G142" s="1" t="s">
        <v>26</v>
      </c>
      <c r="H142" s="1" t="s">
        <v>19</v>
      </c>
      <c r="I142" s="1" t="s">
        <v>49</v>
      </c>
      <c r="J142" s="1" t="s">
        <v>43</v>
      </c>
      <c r="K142" s="1">
        <v>1</v>
      </c>
      <c r="L142" s="1">
        <v>700</v>
      </c>
      <c r="M142" s="1">
        <v>630</v>
      </c>
      <c r="N142" s="1">
        <v>10</v>
      </c>
      <c r="O142" s="2">
        <v>3</v>
      </c>
      <c r="P142" s="1" t="s">
        <v>37</v>
      </c>
    </row>
    <row r="143" spans="1:16">
      <c r="A143" s="1" t="s">
        <v>285</v>
      </c>
      <c r="B143" s="8">
        <v>45843</v>
      </c>
      <c r="C143" s="9" t="str">
        <f t="shared" si="2"/>
        <v>Jul</v>
      </c>
      <c r="D143" s="1" t="s">
        <v>286</v>
      </c>
      <c r="E143" s="1">
        <v>40</v>
      </c>
      <c r="F143" s="1" t="s">
        <v>63</v>
      </c>
      <c r="G143" s="1" t="s">
        <v>26</v>
      </c>
      <c r="H143" s="1" t="s">
        <v>18</v>
      </c>
      <c r="I143" s="1" t="s">
        <v>47</v>
      </c>
      <c r="J143" s="1" t="s">
        <v>41</v>
      </c>
      <c r="K143" s="1">
        <v>2</v>
      </c>
      <c r="L143" s="1">
        <v>850</v>
      </c>
      <c r="M143" s="1">
        <v>1700</v>
      </c>
      <c r="N143" s="1">
        <v>0</v>
      </c>
      <c r="O143" s="2">
        <v>3</v>
      </c>
      <c r="P143" s="1" t="s">
        <v>38</v>
      </c>
    </row>
    <row r="144" spans="1:16">
      <c r="A144" s="1" t="s">
        <v>287</v>
      </c>
      <c r="B144" s="8">
        <v>45725</v>
      </c>
      <c r="C144" s="9" t="str">
        <f t="shared" si="2"/>
        <v>Mar</v>
      </c>
      <c r="D144" s="1" t="s">
        <v>288</v>
      </c>
      <c r="E144" s="1">
        <v>36</v>
      </c>
      <c r="F144" s="1" t="s">
        <v>63</v>
      </c>
      <c r="G144" s="1" t="s">
        <v>32</v>
      </c>
      <c r="H144" s="1" t="s">
        <v>17</v>
      </c>
      <c r="I144" s="1" t="s">
        <v>48</v>
      </c>
      <c r="J144" s="1" t="s">
        <v>44</v>
      </c>
      <c r="K144" s="1">
        <v>4</v>
      </c>
      <c r="L144" s="1">
        <v>900</v>
      </c>
      <c r="M144" s="1">
        <v>3600</v>
      </c>
      <c r="N144" s="1">
        <v>0</v>
      </c>
      <c r="O144" s="2">
        <v>5</v>
      </c>
      <c r="P144" s="1" t="s">
        <v>35</v>
      </c>
    </row>
    <row r="145" spans="1:16">
      <c r="A145" s="1" t="s">
        <v>289</v>
      </c>
      <c r="B145" s="8">
        <v>45989</v>
      </c>
      <c r="C145" s="9" t="str">
        <f t="shared" si="2"/>
        <v>Nov</v>
      </c>
      <c r="D145" s="1" t="s">
        <v>80</v>
      </c>
      <c r="E145" s="1">
        <v>45</v>
      </c>
      <c r="F145" s="1" t="s">
        <v>63</v>
      </c>
      <c r="G145" s="1" t="s">
        <v>31</v>
      </c>
      <c r="H145" s="1" t="s">
        <v>19</v>
      </c>
      <c r="I145" s="1" t="s">
        <v>49</v>
      </c>
      <c r="J145" s="1" t="s">
        <v>43</v>
      </c>
      <c r="K145" s="1">
        <v>4</v>
      </c>
      <c r="L145" s="1">
        <v>700</v>
      </c>
      <c r="M145" s="1">
        <v>2520</v>
      </c>
      <c r="N145" s="1">
        <v>10</v>
      </c>
      <c r="O145" s="2">
        <v>3</v>
      </c>
      <c r="P145" s="1" t="s">
        <v>35</v>
      </c>
    </row>
    <row r="146" spans="1:16">
      <c r="A146" s="1" t="s">
        <v>290</v>
      </c>
      <c r="B146" s="8">
        <v>45850</v>
      </c>
      <c r="C146" s="9" t="str">
        <f t="shared" si="2"/>
        <v>Jul</v>
      </c>
      <c r="D146" s="1" t="s">
        <v>252</v>
      </c>
      <c r="E146" s="1">
        <v>27</v>
      </c>
      <c r="F146" s="1" t="s">
        <v>66</v>
      </c>
      <c r="G146" s="1" t="s">
        <v>28</v>
      </c>
      <c r="H146" s="1" t="s">
        <v>18</v>
      </c>
      <c r="I146" s="1" t="s">
        <v>47</v>
      </c>
      <c r="J146" s="1" t="s">
        <v>41</v>
      </c>
      <c r="K146" s="1">
        <v>4</v>
      </c>
      <c r="L146" s="1">
        <v>850</v>
      </c>
      <c r="M146" s="1">
        <v>3230</v>
      </c>
      <c r="N146" s="1">
        <v>5</v>
      </c>
      <c r="O146" s="2">
        <v>4</v>
      </c>
      <c r="P146" s="1" t="s">
        <v>37</v>
      </c>
    </row>
    <row r="147" spans="1:16">
      <c r="A147" s="1" t="s">
        <v>291</v>
      </c>
      <c r="B147" s="8">
        <v>45864</v>
      </c>
      <c r="C147" s="9" t="str">
        <f t="shared" si="2"/>
        <v>Jul</v>
      </c>
      <c r="D147" s="1" t="s">
        <v>292</v>
      </c>
      <c r="E147" s="1">
        <v>20</v>
      </c>
      <c r="F147" s="1" t="s">
        <v>66</v>
      </c>
      <c r="G147" s="1" t="s">
        <v>32</v>
      </c>
      <c r="H147" s="1" t="s">
        <v>21</v>
      </c>
      <c r="I147" s="1" t="s">
        <v>50</v>
      </c>
      <c r="J147" s="1" t="s">
        <v>42</v>
      </c>
      <c r="K147" s="1">
        <v>4</v>
      </c>
      <c r="L147" s="1">
        <v>750</v>
      </c>
      <c r="M147" s="1">
        <v>3000</v>
      </c>
      <c r="N147" s="1">
        <v>0</v>
      </c>
      <c r="O147" s="2">
        <v>3</v>
      </c>
      <c r="P147" s="1" t="s">
        <v>38</v>
      </c>
    </row>
    <row r="148" spans="1:16">
      <c r="A148" s="1" t="s">
        <v>293</v>
      </c>
      <c r="B148" s="8">
        <v>45856</v>
      </c>
      <c r="C148" s="9" t="str">
        <f t="shared" si="2"/>
        <v>Jul</v>
      </c>
      <c r="D148" s="1" t="s">
        <v>294</v>
      </c>
      <c r="E148" s="1">
        <v>36</v>
      </c>
      <c r="F148" s="1" t="s">
        <v>63</v>
      </c>
      <c r="G148" s="1" t="s">
        <v>32</v>
      </c>
      <c r="H148" s="1" t="s">
        <v>19</v>
      </c>
      <c r="I148" s="1" t="s">
        <v>49</v>
      </c>
      <c r="J148" s="1" t="s">
        <v>41</v>
      </c>
      <c r="K148" s="1">
        <v>1</v>
      </c>
      <c r="L148" s="1">
        <v>700</v>
      </c>
      <c r="M148" s="1">
        <v>560</v>
      </c>
      <c r="N148" s="1">
        <v>20</v>
      </c>
      <c r="O148" s="2">
        <v>4</v>
      </c>
      <c r="P148" s="1" t="s">
        <v>37</v>
      </c>
    </row>
    <row r="149" spans="1:16">
      <c r="A149" s="1" t="s">
        <v>295</v>
      </c>
      <c r="B149" s="8">
        <v>45868</v>
      </c>
      <c r="C149" s="9" t="str">
        <f t="shared" si="2"/>
        <v>Jul</v>
      </c>
      <c r="D149" s="1" t="s">
        <v>76</v>
      </c>
      <c r="E149" s="1">
        <v>18</v>
      </c>
      <c r="F149" s="1" t="s">
        <v>66</v>
      </c>
      <c r="G149" s="1" t="s">
        <v>30</v>
      </c>
      <c r="H149" s="1" t="s">
        <v>20</v>
      </c>
      <c r="I149" s="1" t="s">
        <v>49</v>
      </c>
      <c r="J149" s="1" t="s">
        <v>40</v>
      </c>
      <c r="K149" s="1">
        <v>3</v>
      </c>
      <c r="L149" s="1">
        <v>650</v>
      </c>
      <c r="M149" s="1">
        <v>1950</v>
      </c>
      <c r="N149" s="1">
        <v>0</v>
      </c>
      <c r="O149" s="2">
        <v>4</v>
      </c>
      <c r="P149" s="1" t="s">
        <v>37</v>
      </c>
    </row>
    <row r="150" spans="1:16">
      <c r="A150" s="1" t="s">
        <v>296</v>
      </c>
      <c r="B150" s="8">
        <v>45760</v>
      </c>
      <c r="C150" s="9" t="str">
        <f t="shared" si="2"/>
        <v>Apr</v>
      </c>
      <c r="D150" s="1" t="s">
        <v>297</v>
      </c>
      <c r="E150" s="1">
        <v>37</v>
      </c>
      <c r="F150" s="1" t="s">
        <v>63</v>
      </c>
      <c r="G150" s="1" t="s">
        <v>27</v>
      </c>
      <c r="H150" s="1" t="s">
        <v>21</v>
      </c>
      <c r="I150" s="1" t="s">
        <v>50</v>
      </c>
      <c r="J150" s="1" t="s">
        <v>44</v>
      </c>
      <c r="K150" s="1">
        <v>2</v>
      </c>
      <c r="L150" s="1">
        <v>750</v>
      </c>
      <c r="M150" s="1">
        <v>1350</v>
      </c>
      <c r="N150" s="1">
        <v>10</v>
      </c>
      <c r="O150" s="2">
        <v>5</v>
      </c>
      <c r="P150" s="1" t="s">
        <v>35</v>
      </c>
    </row>
    <row r="151" spans="1:16">
      <c r="A151" s="1" t="s">
        <v>298</v>
      </c>
      <c r="B151" s="8">
        <v>45913</v>
      </c>
      <c r="C151" s="9" t="str">
        <f t="shared" si="2"/>
        <v>Sep</v>
      </c>
      <c r="D151" s="1" t="s">
        <v>230</v>
      </c>
      <c r="E151" s="1">
        <v>30</v>
      </c>
      <c r="F151" s="1" t="s">
        <v>66</v>
      </c>
      <c r="G151" s="1" t="s">
        <v>28</v>
      </c>
      <c r="H151" s="1" t="s">
        <v>18</v>
      </c>
      <c r="I151" s="1" t="s">
        <v>47</v>
      </c>
      <c r="J151" s="1" t="s">
        <v>44</v>
      </c>
      <c r="K151" s="1">
        <v>1</v>
      </c>
      <c r="L151" s="1">
        <v>850</v>
      </c>
      <c r="M151" s="1">
        <v>850</v>
      </c>
      <c r="N151" s="1">
        <v>0</v>
      </c>
      <c r="O151" s="2">
        <v>3</v>
      </c>
      <c r="P151" s="1" t="s">
        <v>36</v>
      </c>
    </row>
    <row r="152" spans="1:16">
      <c r="A152" s="1" t="s">
        <v>299</v>
      </c>
      <c r="B152" s="8">
        <v>45700</v>
      </c>
      <c r="C152" s="9" t="str">
        <f t="shared" si="2"/>
        <v>Feb</v>
      </c>
      <c r="D152" s="1" t="s">
        <v>202</v>
      </c>
      <c r="E152" s="1">
        <v>20</v>
      </c>
      <c r="F152" s="1" t="s">
        <v>63</v>
      </c>
      <c r="G152" s="1" t="s">
        <v>28</v>
      </c>
      <c r="H152" s="1" t="s">
        <v>20</v>
      </c>
      <c r="I152" s="1" t="s">
        <v>49</v>
      </c>
      <c r="J152" s="1" t="s">
        <v>40</v>
      </c>
      <c r="K152" s="1">
        <v>1</v>
      </c>
      <c r="L152" s="1">
        <v>650</v>
      </c>
      <c r="M152" s="1">
        <v>520</v>
      </c>
      <c r="N152" s="1">
        <v>20</v>
      </c>
      <c r="O152" s="2">
        <v>3</v>
      </c>
      <c r="P152" s="1" t="s">
        <v>36</v>
      </c>
    </row>
    <row r="153" spans="1:16">
      <c r="A153" s="1" t="s">
        <v>300</v>
      </c>
      <c r="B153" s="8">
        <v>45865</v>
      </c>
      <c r="C153" s="9" t="str">
        <f t="shared" si="2"/>
        <v>Jul</v>
      </c>
      <c r="D153" s="1" t="s">
        <v>301</v>
      </c>
      <c r="E153" s="1">
        <v>45</v>
      </c>
      <c r="F153" s="1" t="s">
        <v>66</v>
      </c>
      <c r="G153" s="1" t="s">
        <v>31</v>
      </c>
      <c r="H153" s="1" t="s">
        <v>17</v>
      </c>
      <c r="I153" s="1" t="s">
        <v>48</v>
      </c>
      <c r="J153" s="1" t="s">
        <v>43</v>
      </c>
      <c r="K153" s="1">
        <v>1</v>
      </c>
      <c r="L153" s="1">
        <v>900</v>
      </c>
      <c r="M153" s="1">
        <v>720</v>
      </c>
      <c r="N153" s="1">
        <v>20</v>
      </c>
      <c r="O153" s="2">
        <v>4</v>
      </c>
      <c r="P153" s="1" t="s">
        <v>36</v>
      </c>
    </row>
    <row r="154" spans="1:16">
      <c r="A154" s="1" t="s">
        <v>302</v>
      </c>
      <c r="B154" s="8">
        <v>45692</v>
      </c>
      <c r="C154" s="9" t="str">
        <f t="shared" si="2"/>
        <v>Feb</v>
      </c>
      <c r="D154" s="1" t="s">
        <v>247</v>
      </c>
      <c r="E154" s="1">
        <v>20</v>
      </c>
      <c r="F154" s="1" t="s">
        <v>63</v>
      </c>
      <c r="G154" s="1" t="s">
        <v>32</v>
      </c>
      <c r="H154" s="1" t="s">
        <v>21</v>
      </c>
      <c r="I154" s="1" t="s">
        <v>50</v>
      </c>
      <c r="J154" s="1" t="s">
        <v>44</v>
      </c>
      <c r="K154" s="1">
        <v>1</v>
      </c>
      <c r="L154" s="1">
        <v>750</v>
      </c>
      <c r="M154" s="1">
        <v>600</v>
      </c>
      <c r="N154" s="1">
        <v>20</v>
      </c>
      <c r="O154" s="2">
        <v>3</v>
      </c>
      <c r="P154" s="1" t="s">
        <v>36</v>
      </c>
    </row>
    <row r="155" spans="1:16">
      <c r="A155" s="1" t="s">
        <v>303</v>
      </c>
      <c r="B155" s="8">
        <v>45929</v>
      </c>
      <c r="C155" s="9" t="str">
        <f t="shared" si="2"/>
        <v>Sep</v>
      </c>
      <c r="D155" s="1" t="s">
        <v>82</v>
      </c>
      <c r="E155" s="1">
        <v>33</v>
      </c>
      <c r="F155" s="1" t="s">
        <v>66</v>
      </c>
      <c r="G155" s="1" t="s">
        <v>33</v>
      </c>
      <c r="H155" s="1" t="s">
        <v>19</v>
      </c>
      <c r="I155" s="1" t="s">
        <v>49</v>
      </c>
      <c r="J155" s="1" t="s">
        <v>41</v>
      </c>
      <c r="K155" s="1">
        <v>1</v>
      </c>
      <c r="L155" s="1">
        <v>700</v>
      </c>
      <c r="M155" s="1">
        <v>560</v>
      </c>
      <c r="N155" s="1">
        <v>20</v>
      </c>
      <c r="O155" s="2">
        <v>5</v>
      </c>
      <c r="P155" s="1" t="s">
        <v>35</v>
      </c>
    </row>
    <row r="156" spans="1:16">
      <c r="A156" s="1" t="s">
        <v>304</v>
      </c>
      <c r="B156" s="8">
        <v>45910</v>
      </c>
      <c r="C156" s="9" t="str">
        <f t="shared" si="2"/>
        <v>Sep</v>
      </c>
      <c r="D156" s="1" t="s">
        <v>114</v>
      </c>
      <c r="E156" s="1">
        <v>43</v>
      </c>
      <c r="F156" s="1" t="s">
        <v>66</v>
      </c>
      <c r="G156" s="1" t="s">
        <v>32</v>
      </c>
      <c r="H156" s="1" t="s">
        <v>19</v>
      </c>
      <c r="I156" s="1" t="s">
        <v>49</v>
      </c>
      <c r="J156" s="1" t="s">
        <v>43</v>
      </c>
      <c r="K156" s="1">
        <v>2</v>
      </c>
      <c r="L156" s="1">
        <v>700</v>
      </c>
      <c r="M156" s="1">
        <v>1120</v>
      </c>
      <c r="N156" s="1">
        <v>20</v>
      </c>
      <c r="O156" s="2">
        <v>4</v>
      </c>
      <c r="P156" s="1" t="s">
        <v>35</v>
      </c>
    </row>
    <row r="157" spans="1:16">
      <c r="A157" s="1" t="s">
        <v>305</v>
      </c>
      <c r="B157" s="8">
        <v>46011</v>
      </c>
      <c r="C157" s="9" t="str">
        <f t="shared" si="2"/>
        <v>Dec</v>
      </c>
      <c r="D157" s="1" t="s">
        <v>126</v>
      </c>
      <c r="E157" s="1">
        <v>31</v>
      </c>
      <c r="F157" s="1" t="s">
        <v>66</v>
      </c>
      <c r="G157" s="1" t="s">
        <v>30</v>
      </c>
      <c r="H157" s="1" t="s">
        <v>22</v>
      </c>
      <c r="I157" s="1" t="s">
        <v>46</v>
      </c>
      <c r="J157" s="1" t="s">
        <v>43</v>
      </c>
      <c r="K157" s="1">
        <v>4</v>
      </c>
      <c r="L157" s="1">
        <v>600</v>
      </c>
      <c r="M157" s="1">
        <v>2160</v>
      </c>
      <c r="N157" s="1">
        <v>10</v>
      </c>
      <c r="O157" s="2">
        <v>4</v>
      </c>
      <c r="P157" s="1" t="s">
        <v>36</v>
      </c>
    </row>
    <row r="158" spans="1:16">
      <c r="A158" s="1" t="s">
        <v>306</v>
      </c>
      <c r="B158" s="8">
        <v>45789</v>
      </c>
      <c r="C158" s="9" t="str">
        <f t="shared" si="2"/>
        <v>May</v>
      </c>
      <c r="D158" s="1" t="s">
        <v>307</v>
      </c>
      <c r="E158" s="1">
        <v>32</v>
      </c>
      <c r="F158" s="1" t="s">
        <v>63</v>
      </c>
      <c r="G158" s="1" t="s">
        <v>31</v>
      </c>
      <c r="H158" s="1" t="s">
        <v>24</v>
      </c>
      <c r="I158" s="1" t="s">
        <v>49</v>
      </c>
      <c r="J158" s="1" t="s">
        <v>44</v>
      </c>
      <c r="K158" s="1">
        <v>2</v>
      </c>
      <c r="L158" s="1">
        <v>550</v>
      </c>
      <c r="M158" s="1">
        <v>935</v>
      </c>
      <c r="N158" s="1">
        <v>15</v>
      </c>
      <c r="O158" s="2">
        <v>4</v>
      </c>
      <c r="P158" s="1" t="s">
        <v>36</v>
      </c>
    </row>
    <row r="159" spans="1:16">
      <c r="A159" s="1" t="s">
        <v>308</v>
      </c>
      <c r="B159" s="8">
        <v>45665</v>
      </c>
      <c r="C159" s="9" t="str">
        <f t="shared" si="2"/>
        <v>Jan</v>
      </c>
      <c r="D159" s="1" t="s">
        <v>282</v>
      </c>
      <c r="E159" s="1">
        <v>43</v>
      </c>
      <c r="F159" s="1" t="s">
        <v>66</v>
      </c>
      <c r="G159" s="1" t="s">
        <v>32</v>
      </c>
      <c r="H159" s="1" t="s">
        <v>17</v>
      </c>
      <c r="I159" s="1" t="s">
        <v>48</v>
      </c>
      <c r="J159" s="1" t="s">
        <v>40</v>
      </c>
      <c r="K159" s="1">
        <v>4</v>
      </c>
      <c r="L159" s="1">
        <v>900</v>
      </c>
      <c r="M159" s="1">
        <v>2880</v>
      </c>
      <c r="N159" s="1">
        <v>20</v>
      </c>
      <c r="O159" s="2">
        <v>4</v>
      </c>
      <c r="P159" s="1" t="s">
        <v>37</v>
      </c>
    </row>
    <row r="160" spans="1:16">
      <c r="A160" s="1" t="s">
        <v>309</v>
      </c>
      <c r="B160" s="8">
        <v>45661</v>
      </c>
      <c r="C160" s="9" t="str">
        <f t="shared" si="2"/>
        <v>Jan</v>
      </c>
      <c r="D160" s="1" t="s">
        <v>297</v>
      </c>
      <c r="E160" s="1">
        <v>33</v>
      </c>
      <c r="F160" s="1" t="s">
        <v>66</v>
      </c>
      <c r="G160" s="1" t="s">
        <v>29</v>
      </c>
      <c r="H160" s="1" t="s">
        <v>17</v>
      </c>
      <c r="I160" s="1" t="s">
        <v>48</v>
      </c>
      <c r="J160" s="1" t="s">
        <v>41</v>
      </c>
      <c r="K160" s="1">
        <v>2</v>
      </c>
      <c r="L160" s="1">
        <v>900</v>
      </c>
      <c r="M160" s="1">
        <v>1620</v>
      </c>
      <c r="N160" s="1">
        <v>10</v>
      </c>
      <c r="O160" s="2">
        <v>5</v>
      </c>
      <c r="P160" s="1" t="s">
        <v>37</v>
      </c>
    </row>
    <row r="161" spans="1:16">
      <c r="A161" s="1" t="s">
        <v>310</v>
      </c>
      <c r="B161" s="8">
        <v>45979</v>
      </c>
      <c r="C161" s="9" t="str">
        <f t="shared" si="2"/>
        <v>Nov</v>
      </c>
      <c r="D161" s="1" t="s">
        <v>65</v>
      </c>
      <c r="E161" s="1">
        <v>43</v>
      </c>
      <c r="F161" s="1" t="s">
        <v>66</v>
      </c>
      <c r="G161" s="1" t="s">
        <v>30</v>
      </c>
      <c r="H161" s="1" t="s">
        <v>17</v>
      </c>
      <c r="I161" s="1" t="s">
        <v>48</v>
      </c>
      <c r="J161" s="1" t="s">
        <v>43</v>
      </c>
      <c r="K161" s="1">
        <v>2</v>
      </c>
      <c r="L161" s="1">
        <v>900</v>
      </c>
      <c r="M161" s="1">
        <v>1800</v>
      </c>
      <c r="N161" s="1">
        <v>0</v>
      </c>
      <c r="O161" s="2">
        <v>5</v>
      </c>
      <c r="P161" s="1" t="s">
        <v>36</v>
      </c>
    </row>
    <row r="162" spans="1:16">
      <c r="A162" s="1" t="s">
        <v>311</v>
      </c>
      <c r="B162" s="8">
        <v>45828</v>
      </c>
      <c r="C162" s="9" t="str">
        <f t="shared" si="2"/>
        <v>Jun</v>
      </c>
      <c r="D162" s="1" t="s">
        <v>307</v>
      </c>
      <c r="E162" s="1">
        <v>38</v>
      </c>
      <c r="F162" s="1" t="s">
        <v>63</v>
      </c>
      <c r="G162" s="1" t="s">
        <v>27</v>
      </c>
      <c r="H162" s="1" t="s">
        <v>19</v>
      </c>
      <c r="I162" s="1" t="s">
        <v>49</v>
      </c>
      <c r="J162" s="1" t="s">
        <v>42</v>
      </c>
      <c r="K162" s="1">
        <v>4</v>
      </c>
      <c r="L162" s="1">
        <v>700</v>
      </c>
      <c r="M162" s="1">
        <v>2380</v>
      </c>
      <c r="N162" s="1">
        <v>15</v>
      </c>
      <c r="O162" s="2">
        <v>3</v>
      </c>
      <c r="P162" s="1" t="s">
        <v>35</v>
      </c>
    </row>
    <row r="163" spans="1:16">
      <c r="A163" s="1" t="s">
        <v>312</v>
      </c>
      <c r="B163" s="8">
        <v>45939</v>
      </c>
      <c r="C163" s="9" t="str">
        <f t="shared" si="2"/>
        <v>Oct</v>
      </c>
      <c r="D163" s="1" t="s">
        <v>313</v>
      </c>
      <c r="E163" s="1">
        <v>37</v>
      </c>
      <c r="F163" s="1" t="s">
        <v>63</v>
      </c>
      <c r="G163" s="1" t="s">
        <v>33</v>
      </c>
      <c r="H163" s="1" t="s">
        <v>21</v>
      </c>
      <c r="I163" s="1" t="s">
        <v>50</v>
      </c>
      <c r="J163" s="1" t="s">
        <v>41</v>
      </c>
      <c r="K163" s="1">
        <v>2</v>
      </c>
      <c r="L163" s="1">
        <v>750</v>
      </c>
      <c r="M163" s="1">
        <v>1200</v>
      </c>
      <c r="N163" s="1">
        <v>20</v>
      </c>
      <c r="O163" s="2">
        <v>4</v>
      </c>
      <c r="P163" s="1" t="s">
        <v>37</v>
      </c>
    </row>
    <row r="164" spans="1:16">
      <c r="A164" s="1" t="s">
        <v>314</v>
      </c>
      <c r="B164" s="8">
        <v>46009</v>
      </c>
      <c r="C164" s="9" t="str">
        <f t="shared" si="2"/>
        <v>Dec</v>
      </c>
      <c r="D164" s="1" t="s">
        <v>288</v>
      </c>
      <c r="E164" s="1">
        <v>45</v>
      </c>
      <c r="F164" s="1" t="s">
        <v>66</v>
      </c>
      <c r="G164" s="1" t="s">
        <v>29</v>
      </c>
      <c r="H164" s="1" t="s">
        <v>24</v>
      </c>
      <c r="I164" s="1" t="s">
        <v>49</v>
      </c>
      <c r="J164" s="1" t="s">
        <v>41</v>
      </c>
      <c r="K164" s="1">
        <v>4</v>
      </c>
      <c r="L164" s="1">
        <v>550</v>
      </c>
      <c r="M164" s="1">
        <v>1980</v>
      </c>
      <c r="N164" s="1">
        <v>10</v>
      </c>
      <c r="O164" s="2">
        <v>5</v>
      </c>
      <c r="P164" s="1" t="s">
        <v>38</v>
      </c>
    </row>
    <row r="165" spans="1:16">
      <c r="A165" s="1" t="s">
        <v>315</v>
      </c>
      <c r="B165" s="8">
        <v>45700</v>
      </c>
      <c r="C165" s="9" t="str">
        <f t="shared" si="2"/>
        <v>Feb</v>
      </c>
      <c r="D165" s="1" t="s">
        <v>230</v>
      </c>
      <c r="E165" s="1">
        <v>31</v>
      </c>
      <c r="F165" s="1" t="s">
        <v>66</v>
      </c>
      <c r="G165" s="1" t="s">
        <v>30</v>
      </c>
      <c r="H165" s="1" t="s">
        <v>22</v>
      </c>
      <c r="I165" s="1" t="s">
        <v>46</v>
      </c>
      <c r="J165" s="1" t="s">
        <v>41</v>
      </c>
      <c r="K165" s="1">
        <v>1</v>
      </c>
      <c r="L165" s="1">
        <v>600</v>
      </c>
      <c r="M165" s="1">
        <v>540</v>
      </c>
      <c r="N165" s="1">
        <v>10</v>
      </c>
      <c r="O165" s="2">
        <v>5</v>
      </c>
      <c r="P165" s="1" t="s">
        <v>35</v>
      </c>
    </row>
    <row r="166" spans="1:16">
      <c r="A166" s="1" t="s">
        <v>316</v>
      </c>
      <c r="B166" s="8">
        <v>45906</v>
      </c>
      <c r="C166" s="9" t="str">
        <f t="shared" si="2"/>
        <v>Sep</v>
      </c>
      <c r="D166" s="1" t="s">
        <v>124</v>
      </c>
      <c r="E166" s="1">
        <v>30</v>
      </c>
      <c r="F166" s="1" t="s">
        <v>66</v>
      </c>
      <c r="G166" s="1" t="s">
        <v>30</v>
      </c>
      <c r="H166" s="1" t="s">
        <v>19</v>
      </c>
      <c r="I166" s="1" t="s">
        <v>49</v>
      </c>
      <c r="J166" s="1" t="s">
        <v>41</v>
      </c>
      <c r="K166" s="1">
        <v>3</v>
      </c>
      <c r="L166" s="1">
        <v>700</v>
      </c>
      <c r="M166" s="1">
        <v>2100</v>
      </c>
      <c r="N166" s="1">
        <v>0</v>
      </c>
      <c r="O166" s="2">
        <v>5</v>
      </c>
      <c r="P166" s="1" t="s">
        <v>35</v>
      </c>
    </row>
    <row r="167" spans="1:16">
      <c r="A167" s="1" t="s">
        <v>317</v>
      </c>
      <c r="B167" s="8">
        <v>45844</v>
      </c>
      <c r="C167" s="9" t="str">
        <f t="shared" si="2"/>
        <v>Jul</v>
      </c>
      <c r="D167" s="1" t="s">
        <v>148</v>
      </c>
      <c r="E167" s="1">
        <v>31</v>
      </c>
      <c r="F167" s="1" t="s">
        <v>66</v>
      </c>
      <c r="G167" s="1" t="s">
        <v>26</v>
      </c>
      <c r="H167" s="1" t="s">
        <v>20</v>
      </c>
      <c r="I167" s="1" t="s">
        <v>49</v>
      </c>
      <c r="J167" s="1" t="s">
        <v>44</v>
      </c>
      <c r="K167" s="1">
        <v>3</v>
      </c>
      <c r="L167" s="1">
        <v>650</v>
      </c>
      <c r="M167" s="1">
        <v>1560</v>
      </c>
      <c r="N167" s="1">
        <v>20</v>
      </c>
      <c r="O167" s="2">
        <v>3</v>
      </c>
      <c r="P167" s="1" t="s">
        <v>37</v>
      </c>
    </row>
    <row r="168" spans="1:16">
      <c r="A168" s="1" t="s">
        <v>318</v>
      </c>
      <c r="B168" s="8">
        <v>45705</v>
      </c>
      <c r="C168" s="9" t="str">
        <f t="shared" si="2"/>
        <v>Feb</v>
      </c>
      <c r="D168" s="1" t="s">
        <v>234</v>
      </c>
      <c r="E168" s="1">
        <v>38</v>
      </c>
      <c r="F168" s="1" t="s">
        <v>63</v>
      </c>
      <c r="G168" s="1" t="s">
        <v>27</v>
      </c>
      <c r="H168" s="1" t="s">
        <v>22</v>
      </c>
      <c r="I168" s="1" t="s">
        <v>46</v>
      </c>
      <c r="J168" s="1" t="s">
        <v>43</v>
      </c>
      <c r="K168" s="1">
        <v>1</v>
      </c>
      <c r="L168" s="1">
        <v>600</v>
      </c>
      <c r="M168" s="1">
        <v>510</v>
      </c>
      <c r="N168" s="1">
        <v>15</v>
      </c>
      <c r="O168" s="2">
        <v>5</v>
      </c>
      <c r="P168" s="1" t="s">
        <v>37</v>
      </c>
    </row>
    <row r="169" spans="1:16">
      <c r="A169" s="1" t="s">
        <v>319</v>
      </c>
      <c r="B169" s="8">
        <v>45796</v>
      </c>
      <c r="C169" s="9" t="str">
        <f t="shared" si="2"/>
        <v>May</v>
      </c>
      <c r="D169" s="1" t="s">
        <v>268</v>
      </c>
      <c r="E169" s="1">
        <v>27</v>
      </c>
      <c r="F169" s="1" t="s">
        <v>66</v>
      </c>
      <c r="G169" s="1" t="s">
        <v>27</v>
      </c>
      <c r="H169" s="1" t="s">
        <v>17</v>
      </c>
      <c r="I169" s="1" t="s">
        <v>48</v>
      </c>
      <c r="J169" s="1" t="s">
        <v>43</v>
      </c>
      <c r="K169" s="1">
        <v>4</v>
      </c>
      <c r="L169" s="1">
        <v>900</v>
      </c>
      <c r="M169" s="1">
        <v>2880</v>
      </c>
      <c r="N169" s="1">
        <v>20</v>
      </c>
      <c r="O169" s="2">
        <v>4</v>
      </c>
      <c r="P169" s="1" t="s">
        <v>35</v>
      </c>
    </row>
    <row r="170" spans="1:16">
      <c r="A170" s="1" t="s">
        <v>320</v>
      </c>
      <c r="B170" s="8">
        <v>45712</v>
      </c>
      <c r="C170" s="9" t="str">
        <f t="shared" si="2"/>
        <v>Feb</v>
      </c>
      <c r="D170" s="1" t="s">
        <v>275</v>
      </c>
      <c r="E170" s="1">
        <v>30</v>
      </c>
      <c r="F170" s="1" t="s">
        <v>63</v>
      </c>
      <c r="G170" s="1" t="s">
        <v>29</v>
      </c>
      <c r="H170" s="1" t="s">
        <v>21</v>
      </c>
      <c r="I170" s="1" t="s">
        <v>50</v>
      </c>
      <c r="J170" s="1" t="s">
        <v>43</v>
      </c>
      <c r="K170" s="1">
        <v>4</v>
      </c>
      <c r="L170" s="1">
        <v>750</v>
      </c>
      <c r="M170" s="1">
        <v>2400</v>
      </c>
      <c r="N170" s="1">
        <v>20</v>
      </c>
      <c r="O170" s="2">
        <v>4</v>
      </c>
      <c r="P170" s="1" t="s">
        <v>38</v>
      </c>
    </row>
    <row r="171" spans="1:16">
      <c r="A171" s="1" t="s">
        <v>321</v>
      </c>
      <c r="B171" s="8">
        <v>45834</v>
      </c>
      <c r="C171" s="9" t="str">
        <f t="shared" si="2"/>
        <v>Jun</v>
      </c>
      <c r="D171" s="1" t="s">
        <v>88</v>
      </c>
      <c r="E171" s="1">
        <v>33</v>
      </c>
      <c r="F171" s="1" t="s">
        <v>63</v>
      </c>
      <c r="G171" s="1" t="s">
        <v>28</v>
      </c>
      <c r="H171" s="1" t="s">
        <v>23</v>
      </c>
      <c r="I171" s="1" t="s">
        <v>49</v>
      </c>
      <c r="J171" s="1" t="s">
        <v>43</v>
      </c>
      <c r="K171" s="1">
        <v>3</v>
      </c>
      <c r="L171" s="1">
        <v>800</v>
      </c>
      <c r="M171" s="1">
        <v>1920</v>
      </c>
      <c r="N171" s="1">
        <v>20</v>
      </c>
      <c r="O171" s="2">
        <v>3</v>
      </c>
      <c r="P171" s="1" t="s">
        <v>36</v>
      </c>
    </row>
    <row r="172" spans="1:16">
      <c r="A172" s="1" t="s">
        <v>322</v>
      </c>
      <c r="B172" s="8">
        <v>46016</v>
      </c>
      <c r="C172" s="9" t="str">
        <f t="shared" si="2"/>
        <v>Dec</v>
      </c>
      <c r="D172" s="1" t="s">
        <v>74</v>
      </c>
      <c r="E172" s="1">
        <v>42</v>
      </c>
      <c r="F172" s="1" t="s">
        <v>66</v>
      </c>
      <c r="G172" s="1" t="s">
        <v>32</v>
      </c>
      <c r="H172" s="1" t="s">
        <v>17</v>
      </c>
      <c r="I172" s="1" t="s">
        <v>48</v>
      </c>
      <c r="J172" s="1" t="s">
        <v>40</v>
      </c>
      <c r="K172" s="1">
        <v>4</v>
      </c>
      <c r="L172" s="1">
        <v>900</v>
      </c>
      <c r="M172" s="1">
        <v>2880</v>
      </c>
      <c r="N172" s="1">
        <v>20</v>
      </c>
      <c r="O172" s="2">
        <v>5</v>
      </c>
      <c r="P172" s="1" t="s">
        <v>35</v>
      </c>
    </row>
    <row r="173" spans="1:16">
      <c r="A173" s="1" t="s">
        <v>323</v>
      </c>
      <c r="B173" s="8">
        <v>45926</v>
      </c>
      <c r="C173" s="9" t="str">
        <f t="shared" si="2"/>
        <v>Sep</v>
      </c>
      <c r="D173" s="1" t="s">
        <v>126</v>
      </c>
      <c r="E173" s="1">
        <v>38</v>
      </c>
      <c r="F173" s="1" t="s">
        <v>66</v>
      </c>
      <c r="G173" s="1" t="s">
        <v>30</v>
      </c>
      <c r="H173" s="1" t="s">
        <v>17</v>
      </c>
      <c r="I173" s="1" t="s">
        <v>48</v>
      </c>
      <c r="J173" s="1" t="s">
        <v>40</v>
      </c>
      <c r="K173" s="1">
        <v>1</v>
      </c>
      <c r="L173" s="1">
        <v>900</v>
      </c>
      <c r="M173" s="1">
        <v>900</v>
      </c>
      <c r="N173" s="1">
        <v>0</v>
      </c>
      <c r="O173" s="2">
        <v>4</v>
      </c>
      <c r="P173" s="1" t="s">
        <v>35</v>
      </c>
    </row>
    <row r="174" spans="1:16">
      <c r="A174" s="1" t="s">
        <v>324</v>
      </c>
      <c r="B174" s="8">
        <v>46023</v>
      </c>
      <c r="C174" s="9" t="str">
        <f t="shared" si="2"/>
        <v>Jan</v>
      </c>
      <c r="D174" s="1" t="s">
        <v>72</v>
      </c>
      <c r="E174" s="1">
        <v>18</v>
      </c>
      <c r="F174" s="1" t="s">
        <v>63</v>
      </c>
      <c r="G174" s="1" t="s">
        <v>31</v>
      </c>
      <c r="H174" s="1" t="s">
        <v>21</v>
      </c>
      <c r="I174" s="1" t="s">
        <v>50</v>
      </c>
      <c r="J174" s="1" t="s">
        <v>41</v>
      </c>
      <c r="K174" s="1">
        <v>2</v>
      </c>
      <c r="L174" s="1">
        <v>750</v>
      </c>
      <c r="M174" s="1">
        <v>1500</v>
      </c>
      <c r="N174" s="1">
        <v>0</v>
      </c>
      <c r="O174" s="2">
        <v>4</v>
      </c>
      <c r="P174" s="1" t="s">
        <v>36</v>
      </c>
    </row>
    <row r="175" spans="1:16">
      <c r="A175" s="1" t="s">
        <v>325</v>
      </c>
      <c r="B175" s="8">
        <v>45853</v>
      </c>
      <c r="C175" s="9" t="str">
        <f t="shared" si="2"/>
        <v>Jul</v>
      </c>
      <c r="D175" s="1" t="s">
        <v>275</v>
      </c>
      <c r="E175" s="1">
        <v>25</v>
      </c>
      <c r="F175" s="1" t="s">
        <v>66</v>
      </c>
      <c r="G175" s="1" t="s">
        <v>27</v>
      </c>
      <c r="H175" s="1" t="s">
        <v>24</v>
      </c>
      <c r="I175" s="1" t="s">
        <v>49</v>
      </c>
      <c r="J175" s="1" t="s">
        <v>43</v>
      </c>
      <c r="K175" s="1">
        <v>2</v>
      </c>
      <c r="L175" s="1">
        <v>550</v>
      </c>
      <c r="M175" s="1">
        <v>880</v>
      </c>
      <c r="N175" s="1">
        <v>20</v>
      </c>
      <c r="O175" s="2">
        <v>3</v>
      </c>
      <c r="P175" s="1" t="s">
        <v>35</v>
      </c>
    </row>
    <row r="176" spans="1:16">
      <c r="A176" s="1" t="s">
        <v>326</v>
      </c>
      <c r="B176" s="8">
        <v>45839</v>
      </c>
      <c r="C176" s="9" t="str">
        <f t="shared" si="2"/>
        <v>Jul</v>
      </c>
      <c r="D176" s="1" t="s">
        <v>327</v>
      </c>
      <c r="E176" s="1">
        <v>23</v>
      </c>
      <c r="F176" s="1" t="s">
        <v>66</v>
      </c>
      <c r="G176" s="1" t="s">
        <v>31</v>
      </c>
      <c r="H176" s="1" t="s">
        <v>18</v>
      </c>
      <c r="I176" s="1" t="s">
        <v>47</v>
      </c>
      <c r="J176" s="1" t="s">
        <v>44</v>
      </c>
      <c r="K176" s="1">
        <v>2</v>
      </c>
      <c r="L176" s="1">
        <v>850</v>
      </c>
      <c r="M176" s="1">
        <v>1530</v>
      </c>
      <c r="N176" s="1">
        <v>10</v>
      </c>
      <c r="O176" s="2">
        <v>4</v>
      </c>
      <c r="P176" s="1" t="s">
        <v>37</v>
      </c>
    </row>
    <row r="177" spans="1:16">
      <c r="A177" s="1" t="s">
        <v>328</v>
      </c>
      <c r="B177" s="8">
        <v>45668</v>
      </c>
      <c r="C177" s="9" t="str">
        <f t="shared" si="2"/>
        <v>Jan</v>
      </c>
      <c r="D177" s="1" t="s">
        <v>146</v>
      </c>
      <c r="E177" s="1">
        <v>27</v>
      </c>
      <c r="F177" s="1" t="s">
        <v>66</v>
      </c>
      <c r="G177" s="1" t="s">
        <v>27</v>
      </c>
      <c r="H177" s="1" t="s">
        <v>22</v>
      </c>
      <c r="I177" s="1" t="s">
        <v>46</v>
      </c>
      <c r="J177" s="1" t="s">
        <v>40</v>
      </c>
      <c r="K177" s="1">
        <v>3</v>
      </c>
      <c r="L177" s="1">
        <v>600</v>
      </c>
      <c r="M177" s="1">
        <v>1800</v>
      </c>
      <c r="N177" s="1">
        <v>0</v>
      </c>
      <c r="O177" s="2">
        <v>3</v>
      </c>
      <c r="P177" s="1" t="s">
        <v>37</v>
      </c>
    </row>
    <row r="178" spans="1:16">
      <c r="A178" s="1" t="s">
        <v>329</v>
      </c>
      <c r="B178" s="8">
        <v>45897</v>
      </c>
      <c r="C178" s="9" t="str">
        <f t="shared" si="2"/>
        <v>Aug</v>
      </c>
      <c r="D178" s="1" t="s">
        <v>88</v>
      </c>
      <c r="E178" s="1">
        <v>30</v>
      </c>
      <c r="F178" s="1" t="s">
        <v>66</v>
      </c>
      <c r="G178" s="1" t="s">
        <v>27</v>
      </c>
      <c r="H178" s="1" t="s">
        <v>17</v>
      </c>
      <c r="I178" s="1" t="s">
        <v>48</v>
      </c>
      <c r="J178" s="1" t="s">
        <v>43</v>
      </c>
      <c r="K178" s="1">
        <v>4</v>
      </c>
      <c r="L178" s="1">
        <v>900</v>
      </c>
      <c r="M178" s="1">
        <v>3240</v>
      </c>
      <c r="N178" s="1">
        <v>10</v>
      </c>
      <c r="O178" s="2">
        <v>4</v>
      </c>
      <c r="P178" s="1" t="s">
        <v>36</v>
      </c>
    </row>
    <row r="179" spans="1:16">
      <c r="A179" s="1" t="s">
        <v>330</v>
      </c>
      <c r="B179" s="8">
        <v>45941</v>
      </c>
      <c r="C179" s="9" t="str">
        <f t="shared" si="2"/>
        <v>Oct</v>
      </c>
      <c r="D179" s="1" t="s">
        <v>301</v>
      </c>
      <c r="E179" s="1">
        <v>38</v>
      </c>
      <c r="F179" s="1" t="s">
        <v>63</v>
      </c>
      <c r="G179" s="1" t="s">
        <v>29</v>
      </c>
      <c r="H179" s="1" t="s">
        <v>17</v>
      </c>
      <c r="I179" s="1" t="s">
        <v>48</v>
      </c>
      <c r="J179" s="1" t="s">
        <v>42</v>
      </c>
      <c r="K179" s="1">
        <v>4</v>
      </c>
      <c r="L179" s="1">
        <v>900</v>
      </c>
      <c r="M179" s="1">
        <v>3060</v>
      </c>
      <c r="N179" s="1">
        <v>15</v>
      </c>
      <c r="O179" s="2">
        <v>3</v>
      </c>
      <c r="P179" s="1" t="s">
        <v>35</v>
      </c>
    </row>
    <row r="180" spans="1:16">
      <c r="A180" s="1" t="s">
        <v>331</v>
      </c>
      <c r="B180" s="8">
        <v>45842</v>
      </c>
      <c r="C180" s="9" t="str">
        <f t="shared" si="2"/>
        <v>Jul</v>
      </c>
      <c r="D180" s="1" t="s">
        <v>332</v>
      </c>
      <c r="E180" s="1">
        <v>35</v>
      </c>
      <c r="F180" s="1" t="s">
        <v>63</v>
      </c>
      <c r="G180" s="1" t="s">
        <v>31</v>
      </c>
      <c r="H180" s="1" t="s">
        <v>19</v>
      </c>
      <c r="I180" s="1" t="s">
        <v>49</v>
      </c>
      <c r="J180" s="1" t="s">
        <v>42</v>
      </c>
      <c r="K180" s="1">
        <v>4</v>
      </c>
      <c r="L180" s="1">
        <v>700</v>
      </c>
      <c r="M180" s="1">
        <v>2240</v>
      </c>
      <c r="N180" s="1">
        <v>20</v>
      </c>
      <c r="O180" s="2">
        <v>5</v>
      </c>
      <c r="P180" s="1" t="s">
        <v>35</v>
      </c>
    </row>
    <row r="181" spans="1:16">
      <c r="A181" s="1" t="s">
        <v>333</v>
      </c>
      <c r="B181" s="8">
        <v>45909</v>
      </c>
      <c r="C181" s="9" t="str">
        <f t="shared" si="2"/>
        <v>Sep</v>
      </c>
      <c r="D181" s="1" t="s">
        <v>234</v>
      </c>
      <c r="E181" s="1">
        <v>41</v>
      </c>
      <c r="F181" s="1" t="s">
        <v>66</v>
      </c>
      <c r="G181" s="1" t="s">
        <v>31</v>
      </c>
      <c r="H181" s="1" t="s">
        <v>18</v>
      </c>
      <c r="I181" s="1" t="s">
        <v>47</v>
      </c>
      <c r="J181" s="1" t="s">
        <v>40</v>
      </c>
      <c r="K181" s="1">
        <v>4</v>
      </c>
      <c r="L181" s="1">
        <v>850</v>
      </c>
      <c r="M181" s="1">
        <v>3400</v>
      </c>
      <c r="N181" s="1">
        <v>0</v>
      </c>
      <c r="O181" s="2">
        <v>3</v>
      </c>
      <c r="P181" s="1" t="s">
        <v>38</v>
      </c>
    </row>
    <row r="182" spans="1:16">
      <c r="A182" s="1" t="s">
        <v>334</v>
      </c>
      <c r="B182" s="8">
        <v>45945</v>
      </c>
      <c r="C182" s="9" t="str">
        <f t="shared" si="2"/>
        <v>Oct</v>
      </c>
      <c r="D182" s="1" t="s">
        <v>335</v>
      </c>
      <c r="E182" s="1">
        <v>35</v>
      </c>
      <c r="F182" s="1" t="s">
        <v>63</v>
      </c>
      <c r="G182" s="1" t="s">
        <v>30</v>
      </c>
      <c r="H182" s="1" t="s">
        <v>23</v>
      </c>
      <c r="I182" s="1" t="s">
        <v>49</v>
      </c>
      <c r="J182" s="1" t="s">
        <v>42</v>
      </c>
      <c r="K182" s="1">
        <v>2</v>
      </c>
      <c r="L182" s="1">
        <v>800</v>
      </c>
      <c r="M182" s="1">
        <v>1520</v>
      </c>
      <c r="N182" s="1">
        <v>5</v>
      </c>
      <c r="O182" s="2">
        <v>4</v>
      </c>
      <c r="P182" s="1" t="s">
        <v>38</v>
      </c>
    </row>
    <row r="183" spans="1:16">
      <c r="A183" s="1" t="s">
        <v>336</v>
      </c>
      <c r="B183" s="8">
        <v>45865</v>
      </c>
      <c r="C183" s="9" t="str">
        <f t="shared" si="2"/>
        <v>Jul</v>
      </c>
      <c r="D183" s="1" t="s">
        <v>237</v>
      </c>
      <c r="E183" s="1">
        <v>31</v>
      </c>
      <c r="F183" s="1" t="s">
        <v>63</v>
      </c>
      <c r="G183" s="1" t="s">
        <v>32</v>
      </c>
      <c r="H183" s="1" t="s">
        <v>21</v>
      </c>
      <c r="I183" s="1" t="s">
        <v>50</v>
      </c>
      <c r="J183" s="1" t="s">
        <v>44</v>
      </c>
      <c r="K183" s="1">
        <v>2</v>
      </c>
      <c r="L183" s="1">
        <v>750</v>
      </c>
      <c r="M183" s="1">
        <v>1275</v>
      </c>
      <c r="N183" s="1">
        <v>15</v>
      </c>
      <c r="O183" s="2">
        <v>5</v>
      </c>
      <c r="P183" s="1" t="s">
        <v>37</v>
      </c>
    </row>
    <row r="184" spans="1:16">
      <c r="A184" s="1" t="s">
        <v>337</v>
      </c>
      <c r="B184" s="8">
        <v>45713</v>
      </c>
      <c r="C184" s="9" t="str">
        <f t="shared" si="2"/>
        <v>Feb</v>
      </c>
      <c r="D184" s="1" t="s">
        <v>140</v>
      </c>
      <c r="E184" s="1">
        <v>41</v>
      </c>
      <c r="F184" s="1" t="s">
        <v>66</v>
      </c>
      <c r="G184" s="1" t="s">
        <v>33</v>
      </c>
      <c r="H184" s="1" t="s">
        <v>23</v>
      </c>
      <c r="I184" s="1" t="s">
        <v>49</v>
      </c>
      <c r="J184" s="1" t="s">
        <v>44</v>
      </c>
      <c r="K184" s="1">
        <v>1</v>
      </c>
      <c r="L184" s="1">
        <v>800</v>
      </c>
      <c r="M184" s="1">
        <v>800</v>
      </c>
      <c r="N184" s="1">
        <v>0</v>
      </c>
      <c r="O184" s="2">
        <v>3</v>
      </c>
      <c r="P184" s="1" t="s">
        <v>38</v>
      </c>
    </row>
    <row r="185" spans="1:16">
      <c r="A185" s="1" t="s">
        <v>338</v>
      </c>
      <c r="B185" s="8">
        <v>45795</v>
      </c>
      <c r="C185" s="9" t="str">
        <f t="shared" si="2"/>
        <v>May</v>
      </c>
      <c r="D185" s="1" t="s">
        <v>339</v>
      </c>
      <c r="E185" s="1">
        <v>32</v>
      </c>
      <c r="F185" s="1" t="s">
        <v>63</v>
      </c>
      <c r="G185" s="1" t="s">
        <v>29</v>
      </c>
      <c r="H185" s="1" t="s">
        <v>22</v>
      </c>
      <c r="I185" s="1" t="s">
        <v>46</v>
      </c>
      <c r="J185" s="1" t="s">
        <v>40</v>
      </c>
      <c r="K185" s="1">
        <v>4</v>
      </c>
      <c r="L185" s="1">
        <v>600</v>
      </c>
      <c r="M185" s="1">
        <v>2280</v>
      </c>
      <c r="N185" s="1">
        <v>5</v>
      </c>
      <c r="O185" s="2">
        <v>3</v>
      </c>
      <c r="P185" s="1" t="s">
        <v>36</v>
      </c>
    </row>
    <row r="186" spans="1:16">
      <c r="A186" s="1" t="s">
        <v>340</v>
      </c>
      <c r="B186" s="8">
        <v>45890</v>
      </c>
      <c r="C186" s="9" t="str">
        <f t="shared" si="2"/>
        <v>Aug</v>
      </c>
      <c r="D186" s="1" t="s">
        <v>196</v>
      </c>
      <c r="E186" s="1">
        <v>40</v>
      </c>
      <c r="F186" s="1" t="s">
        <v>63</v>
      </c>
      <c r="G186" s="1" t="s">
        <v>26</v>
      </c>
      <c r="H186" s="1" t="s">
        <v>20</v>
      </c>
      <c r="I186" s="1" t="s">
        <v>49</v>
      </c>
      <c r="J186" s="1" t="s">
        <v>40</v>
      </c>
      <c r="K186" s="1">
        <v>3</v>
      </c>
      <c r="L186" s="1">
        <v>650</v>
      </c>
      <c r="M186" s="1">
        <v>1657.5</v>
      </c>
      <c r="N186" s="1">
        <v>15</v>
      </c>
      <c r="O186" s="2">
        <v>5</v>
      </c>
      <c r="P186" s="1" t="s">
        <v>38</v>
      </c>
    </row>
    <row r="187" spans="1:16">
      <c r="A187" s="1" t="s">
        <v>341</v>
      </c>
      <c r="B187" s="8">
        <v>45748</v>
      </c>
      <c r="C187" s="9" t="str">
        <f t="shared" si="2"/>
        <v>Apr</v>
      </c>
      <c r="D187" s="1" t="s">
        <v>86</v>
      </c>
      <c r="E187" s="1">
        <v>35</v>
      </c>
      <c r="F187" s="1" t="s">
        <v>66</v>
      </c>
      <c r="G187" s="1" t="s">
        <v>27</v>
      </c>
      <c r="H187" s="1" t="s">
        <v>17</v>
      </c>
      <c r="I187" s="1" t="s">
        <v>48</v>
      </c>
      <c r="J187" s="1" t="s">
        <v>42</v>
      </c>
      <c r="K187" s="1">
        <v>3</v>
      </c>
      <c r="L187" s="1">
        <v>900</v>
      </c>
      <c r="M187" s="1">
        <v>2700</v>
      </c>
      <c r="N187" s="1">
        <v>0</v>
      </c>
      <c r="O187" s="2">
        <v>3</v>
      </c>
      <c r="P187" s="1" t="s">
        <v>36</v>
      </c>
    </row>
    <row r="188" spans="1:16">
      <c r="A188" s="1" t="s">
        <v>342</v>
      </c>
      <c r="B188" s="8">
        <v>45959</v>
      </c>
      <c r="C188" s="9" t="str">
        <f t="shared" si="2"/>
        <v>Oct</v>
      </c>
      <c r="D188" s="1" t="s">
        <v>297</v>
      </c>
      <c r="E188" s="1">
        <v>43</v>
      </c>
      <c r="F188" s="1" t="s">
        <v>63</v>
      </c>
      <c r="G188" s="1" t="s">
        <v>29</v>
      </c>
      <c r="H188" s="1" t="s">
        <v>19</v>
      </c>
      <c r="I188" s="1" t="s">
        <v>49</v>
      </c>
      <c r="J188" s="1" t="s">
        <v>40</v>
      </c>
      <c r="K188" s="1">
        <v>3</v>
      </c>
      <c r="L188" s="1">
        <v>700</v>
      </c>
      <c r="M188" s="1">
        <v>2100</v>
      </c>
      <c r="N188" s="1">
        <v>0</v>
      </c>
      <c r="O188" s="2">
        <v>5</v>
      </c>
      <c r="P188" s="1" t="s">
        <v>37</v>
      </c>
    </row>
    <row r="189" spans="1:16">
      <c r="A189" s="1" t="s">
        <v>343</v>
      </c>
      <c r="B189" s="8">
        <v>45743</v>
      </c>
      <c r="C189" s="9" t="str">
        <f t="shared" si="2"/>
        <v>Mar</v>
      </c>
      <c r="D189" s="1" t="s">
        <v>82</v>
      </c>
      <c r="E189" s="1">
        <v>35</v>
      </c>
      <c r="F189" s="1" t="s">
        <v>66</v>
      </c>
      <c r="G189" s="1" t="s">
        <v>31</v>
      </c>
      <c r="H189" s="1" t="s">
        <v>22</v>
      </c>
      <c r="I189" s="1" t="s">
        <v>46</v>
      </c>
      <c r="J189" s="1" t="s">
        <v>40</v>
      </c>
      <c r="K189" s="1">
        <v>2</v>
      </c>
      <c r="L189" s="1">
        <v>600</v>
      </c>
      <c r="M189" s="1">
        <v>1200</v>
      </c>
      <c r="N189" s="1">
        <v>0</v>
      </c>
      <c r="O189" s="2">
        <v>3</v>
      </c>
      <c r="P189" s="1" t="s">
        <v>36</v>
      </c>
    </row>
    <row r="190" spans="1:16">
      <c r="A190" s="1" t="s">
        <v>344</v>
      </c>
      <c r="B190" s="8">
        <v>46004</v>
      </c>
      <c r="C190" s="9" t="str">
        <f t="shared" si="2"/>
        <v>Dec</v>
      </c>
      <c r="D190" s="1" t="s">
        <v>96</v>
      </c>
      <c r="E190" s="1">
        <v>36</v>
      </c>
      <c r="F190" s="1" t="s">
        <v>63</v>
      </c>
      <c r="G190" s="1" t="s">
        <v>32</v>
      </c>
      <c r="H190" s="1" t="s">
        <v>17</v>
      </c>
      <c r="I190" s="1" t="s">
        <v>48</v>
      </c>
      <c r="J190" s="1" t="s">
        <v>42</v>
      </c>
      <c r="K190" s="1">
        <v>1</v>
      </c>
      <c r="L190" s="1">
        <v>900</v>
      </c>
      <c r="M190" s="1">
        <v>765</v>
      </c>
      <c r="N190" s="1">
        <v>15</v>
      </c>
      <c r="O190" s="2">
        <v>4</v>
      </c>
      <c r="P190" s="1" t="s">
        <v>38</v>
      </c>
    </row>
    <row r="191" spans="1:16">
      <c r="A191" s="1" t="s">
        <v>345</v>
      </c>
      <c r="B191" s="8">
        <v>45806</v>
      </c>
      <c r="C191" s="9" t="str">
        <f t="shared" si="2"/>
        <v>May</v>
      </c>
      <c r="D191" s="1" t="s">
        <v>101</v>
      </c>
      <c r="E191" s="1">
        <v>28</v>
      </c>
      <c r="F191" s="1" t="s">
        <v>63</v>
      </c>
      <c r="G191" s="1" t="s">
        <v>27</v>
      </c>
      <c r="H191" s="1" t="s">
        <v>21</v>
      </c>
      <c r="I191" s="1" t="s">
        <v>50</v>
      </c>
      <c r="J191" s="1" t="s">
        <v>41</v>
      </c>
      <c r="K191" s="1">
        <v>2</v>
      </c>
      <c r="L191" s="1">
        <v>750</v>
      </c>
      <c r="M191" s="1">
        <v>1500</v>
      </c>
      <c r="N191" s="1">
        <v>0</v>
      </c>
      <c r="O191" s="2">
        <v>5</v>
      </c>
      <c r="P191" s="1" t="s">
        <v>35</v>
      </c>
    </row>
    <row r="192" spans="1:16">
      <c r="A192" s="1" t="s">
        <v>346</v>
      </c>
      <c r="B192" s="8">
        <v>45693</v>
      </c>
      <c r="C192" s="9" t="str">
        <f t="shared" si="2"/>
        <v>Feb</v>
      </c>
      <c r="D192" s="1" t="s">
        <v>70</v>
      </c>
      <c r="E192" s="1">
        <v>26</v>
      </c>
      <c r="F192" s="1" t="s">
        <v>63</v>
      </c>
      <c r="G192" s="1" t="s">
        <v>26</v>
      </c>
      <c r="H192" s="1" t="s">
        <v>22</v>
      </c>
      <c r="I192" s="1" t="s">
        <v>46</v>
      </c>
      <c r="J192" s="1" t="s">
        <v>41</v>
      </c>
      <c r="K192" s="1">
        <v>2</v>
      </c>
      <c r="L192" s="1">
        <v>600</v>
      </c>
      <c r="M192" s="1">
        <v>1080</v>
      </c>
      <c r="N192" s="1">
        <v>10</v>
      </c>
      <c r="O192" s="2">
        <v>3</v>
      </c>
      <c r="P192" s="1" t="s">
        <v>35</v>
      </c>
    </row>
    <row r="193" spans="1:16">
      <c r="A193" s="1" t="s">
        <v>347</v>
      </c>
      <c r="B193" s="8">
        <v>45769</v>
      </c>
      <c r="C193" s="9" t="str">
        <f t="shared" si="2"/>
        <v>Apr</v>
      </c>
      <c r="D193" s="1" t="s">
        <v>348</v>
      </c>
      <c r="E193" s="1">
        <v>18</v>
      </c>
      <c r="F193" s="1" t="s">
        <v>66</v>
      </c>
      <c r="G193" s="1" t="s">
        <v>32</v>
      </c>
      <c r="H193" s="1" t="s">
        <v>21</v>
      </c>
      <c r="I193" s="1" t="s">
        <v>50</v>
      </c>
      <c r="J193" s="1" t="s">
        <v>44</v>
      </c>
      <c r="K193" s="1">
        <v>4</v>
      </c>
      <c r="L193" s="1">
        <v>750</v>
      </c>
      <c r="M193" s="1">
        <v>3000</v>
      </c>
      <c r="N193" s="1">
        <v>0</v>
      </c>
      <c r="O193" s="2">
        <v>3</v>
      </c>
      <c r="P193" s="1" t="s">
        <v>38</v>
      </c>
    </row>
    <row r="194" spans="1:16">
      <c r="A194" s="1" t="s">
        <v>349</v>
      </c>
      <c r="B194" s="8">
        <v>45824</v>
      </c>
      <c r="C194" s="9" t="str">
        <f t="shared" si="2"/>
        <v>Jun</v>
      </c>
      <c r="D194" s="1" t="s">
        <v>350</v>
      </c>
      <c r="E194" s="1">
        <v>25</v>
      </c>
      <c r="F194" s="1" t="s">
        <v>66</v>
      </c>
      <c r="G194" s="1" t="s">
        <v>33</v>
      </c>
      <c r="H194" s="1" t="s">
        <v>19</v>
      </c>
      <c r="I194" s="1" t="s">
        <v>49</v>
      </c>
      <c r="J194" s="1" t="s">
        <v>43</v>
      </c>
      <c r="K194" s="1">
        <v>2</v>
      </c>
      <c r="L194" s="1">
        <v>700</v>
      </c>
      <c r="M194" s="1">
        <v>1190</v>
      </c>
      <c r="N194" s="1">
        <v>15</v>
      </c>
      <c r="O194" s="2">
        <v>4</v>
      </c>
      <c r="P194" s="1" t="s">
        <v>36</v>
      </c>
    </row>
    <row r="195" spans="1:16">
      <c r="A195" s="1" t="s">
        <v>351</v>
      </c>
      <c r="B195" s="8">
        <v>45659</v>
      </c>
      <c r="C195" s="9" t="str">
        <f t="shared" ref="C195:C252" si="3">TEXT(B195,"mmm")</f>
        <v>Jan</v>
      </c>
      <c r="D195" s="1" t="s">
        <v>352</v>
      </c>
      <c r="E195" s="1">
        <v>29</v>
      </c>
      <c r="F195" s="1" t="s">
        <v>63</v>
      </c>
      <c r="G195" s="1" t="s">
        <v>33</v>
      </c>
      <c r="H195" s="1" t="s">
        <v>22</v>
      </c>
      <c r="I195" s="1" t="s">
        <v>46</v>
      </c>
      <c r="J195" s="1" t="s">
        <v>44</v>
      </c>
      <c r="K195" s="1">
        <v>2</v>
      </c>
      <c r="L195" s="1">
        <v>600</v>
      </c>
      <c r="M195" s="1">
        <v>960</v>
      </c>
      <c r="N195" s="1">
        <v>20</v>
      </c>
      <c r="O195" s="2">
        <v>3</v>
      </c>
      <c r="P195" s="1" t="s">
        <v>38</v>
      </c>
    </row>
    <row r="196" spans="1:16">
      <c r="A196" s="1" t="s">
        <v>353</v>
      </c>
      <c r="B196" s="8">
        <v>45669</v>
      </c>
      <c r="C196" s="9" t="str">
        <f t="shared" si="3"/>
        <v>Jan</v>
      </c>
      <c r="D196" s="1" t="s">
        <v>190</v>
      </c>
      <c r="E196" s="1">
        <v>45</v>
      </c>
      <c r="F196" s="1" t="s">
        <v>66</v>
      </c>
      <c r="G196" s="1" t="s">
        <v>31</v>
      </c>
      <c r="H196" s="1" t="s">
        <v>18</v>
      </c>
      <c r="I196" s="1" t="s">
        <v>47</v>
      </c>
      <c r="J196" s="1" t="s">
        <v>40</v>
      </c>
      <c r="K196" s="1">
        <v>1</v>
      </c>
      <c r="L196" s="1">
        <v>850</v>
      </c>
      <c r="M196" s="1">
        <v>765</v>
      </c>
      <c r="N196" s="1">
        <v>10</v>
      </c>
      <c r="O196" s="2">
        <v>4</v>
      </c>
      <c r="P196" s="1" t="s">
        <v>35</v>
      </c>
    </row>
    <row r="197" spans="1:16">
      <c r="A197" s="1" t="s">
        <v>354</v>
      </c>
      <c r="B197" s="8">
        <v>45825</v>
      </c>
      <c r="C197" s="9" t="str">
        <f t="shared" si="3"/>
        <v>Jun</v>
      </c>
      <c r="D197" s="1" t="s">
        <v>172</v>
      </c>
      <c r="E197" s="1">
        <v>33</v>
      </c>
      <c r="F197" s="1" t="s">
        <v>63</v>
      </c>
      <c r="G197" s="1" t="s">
        <v>30</v>
      </c>
      <c r="H197" s="1" t="s">
        <v>22</v>
      </c>
      <c r="I197" s="1" t="s">
        <v>46</v>
      </c>
      <c r="J197" s="1" t="s">
        <v>43</v>
      </c>
      <c r="K197" s="1">
        <v>3</v>
      </c>
      <c r="L197" s="1">
        <v>600</v>
      </c>
      <c r="M197" s="1">
        <v>1710</v>
      </c>
      <c r="N197" s="1">
        <v>5</v>
      </c>
      <c r="O197" s="2">
        <v>5</v>
      </c>
      <c r="P197" s="1" t="s">
        <v>35</v>
      </c>
    </row>
    <row r="198" spans="1:16">
      <c r="A198" s="1" t="s">
        <v>355</v>
      </c>
      <c r="B198" s="8">
        <v>45872</v>
      </c>
      <c r="C198" s="9" t="str">
        <f t="shared" si="3"/>
        <v>Aug</v>
      </c>
      <c r="D198" s="1" t="s">
        <v>294</v>
      </c>
      <c r="E198" s="1">
        <v>33</v>
      </c>
      <c r="F198" s="1" t="s">
        <v>63</v>
      </c>
      <c r="G198" s="1" t="s">
        <v>31</v>
      </c>
      <c r="H198" s="1" t="s">
        <v>21</v>
      </c>
      <c r="I198" s="1" t="s">
        <v>50</v>
      </c>
      <c r="J198" s="1" t="s">
        <v>41</v>
      </c>
      <c r="K198" s="1">
        <v>1</v>
      </c>
      <c r="L198" s="1">
        <v>750</v>
      </c>
      <c r="M198" s="1">
        <v>600</v>
      </c>
      <c r="N198" s="1">
        <v>20</v>
      </c>
      <c r="O198" s="2">
        <v>4</v>
      </c>
      <c r="P198" s="1" t="s">
        <v>35</v>
      </c>
    </row>
    <row r="199" spans="1:16">
      <c r="A199" s="1" t="s">
        <v>356</v>
      </c>
      <c r="B199" s="8">
        <v>45995</v>
      </c>
      <c r="C199" s="9" t="str">
        <f t="shared" si="3"/>
        <v>Dec</v>
      </c>
      <c r="D199" s="1" t="s">
        <v>357</v>
      </c>
      <c r="E199" s="1">
        <v>45</v>
      </c>
      <c r="F199" s="1" t="s">
        <v>63</v>
      </c>
      <c r="G199" s="1" t="s">
        <v>33</v>
      </c>
      <c r="H199" s="1" t="s">
        <v>18</v>
      </c>
      <c r="I199" s="1" t="s">
        <v>47</v>
      </c>
      <c r="J199" s="1" t="s">
        <v>42</v>
      </c>
      <c r="K199" s="1">
        <v>1</v>
      </c>
      <c r="L199" s="1">
        <v>850</v>
      </c>
      <c r="M199" s="1">
        <v>850</v>
      </c>
      <c r="N199" s="1">
        <v>0</v>
      </c>
      <c r="O199" s="2">
        <v>4</v>
      </c>
      <c r="P199" s="1" t="s">
        <v>36</v>
      </c>
    </row>
    <row r="200" spans="1:16">
      <c r="A200" s="1" t="s">
        <v>358</v>
      </c>
      <c r="B200" s="8">
        <v>45844</v>
      </c>
      <c r="C200" s="9" t="str">
        <f t="shared" si="3"/>
        <v>Jul</v>
      </c>
      <c r="D200" s="1" t="s">
        <v>275</v>
      </c>
      <c r="E200" s="1">
        <v>35</v>
      </c>
      <c r="F200" s="1" t="s">
        <v>66</v>
      </c>
      <c r="G200" s="1" t="s">
        <v>27</v>
      </c>
      <c r="H200" s="1" t="s">
        <v>17</v>
      </c>
      <c r="I200" s="1" t="s">
        <v>48</v>
      </c>
      <c r="J200" s="1" t="s">
        <v>43</v>
      </c>
      <c r="K200" s="1">
        <v>4</v>
      </c>
      <c r="L200" s="1">
        <v>900</v>
      </c>
      <c r="M200" s="1">
        <v>3420</v>
      </c>
      <c r="N200" s="1">
        <v>5</v>
      </c>
      <c r="O200" s="2">
        <v>4</v>
      </c>
      <c r="P200" s="1" t="s">
        <v>37</v>
      </c>
    </row>
    <row r="201" spans="1:16">
      <c r="A201" s="1" t="s">
        <v>359</v>
      </c>
      <c r="B201" s="8">
        <v>45743</v>
      </c>
      <c r="C201" s="9" t="str">
        <f t="shared" si="3"/>
        <v>Mar</v>
      </c>
      <c r="D201" s="1" t="s">
        <v>360</v>
      </c>
      <c r="E201" s="1">
        <v>31</v>
      </c>
      <c r="F201" s="1" t="s">
        <v>63</v>
      </c>
      <c r="G201" s="1" t="s">
        <v>32</v>
      </c>
      <c r="H201" s="1" t="s">
        <v>18</v>
      </c>
      <c r="I201" s="1" t="s">
        <v>47</v>
      </c>
      <c r="J201" s="1" t="s">
        <v>44</v>
      </c>
      <c r="K201" s="1">
        <v>4</v>
      </c>
      <c r="L201" s="1">
        <v>850</v>
      </c>
      <c r="M201" s="1">
        <v>2890</v>
      </c>
      <c r="N201" s="1">
        <v>15</v>
      </c>
      <c r="O201" s="2">
        <v>4</v>
      </c>
      <c r="P201" s="1" t="s">
        <v>36</v>
      </c>
    </row>
    <row r="202" spans="1:16">
      <c r="A202" s="1" t="s">
        <v>361</v>
      </c>
      <c r="B202" s="8">
        <v>45665</v>
      </c>
      <c r="C202" s="9" t="str">
        <f t="shared" si="3"/>
        <v>Jan</v>
      </c>
      <c r="D202" s="1" t="s">
        <v>360</v>
      </c>
      <c r="E202" s="1">
        <v>34</v>
      </c>
      <c r="F202" s="1" t="s">
        <v>66</v>
      </c>
      <c r="G202" s="1" t="s">
        <v>32</v>
      </c>
      <c r="H202" s="1" t="s">
        <v>20</v>
      </c>
      <c r="I202" s="1" t="s">
        <v>49</v>
      </c>
      <c r="J202" s="1" t="s">
        <v>43</v>
      </c>
      <c r="K202" s="1">
        <v>4</v>
      </c>
      <c r="L202" s="1">
        <v>650</v>
      </c>
      <c r="M202" s="1">
        <v>2340</v>
      </c>
      <c r="N202" s="1">
        <v>10</v>
      </c>
      <c r="O202" s="2">
        <v>4</v>
      </c>
      <c r="P202" s="1" t="s">
        <v>35</v>
      </c>
    </row>
    <row r="203" spans="1:16">
      <c r="A203" s="1" t="s">
        <v>362</v>
      </c>
      <c r="B203" s="8">
        <v>46009</v>
      </c>
      <c r="C203" s="9" t="str">
        <f t="shared" si="3"/>
        <v>Dec</v>
      </c>
      <c r="D203" s="1" t="s">
        <v>363</v>
      </c>
      <c r="E203" s="1">
        <v>42</v>
      </c>
      <c r="F203" s="1" t="s">
        <v>63</v>
      </c>
      <c r="G203" s="1" t="s">
        <v>30</v>
      </c>
      <c r="H203" s="1" t="s">
        <v>22</v>
      </c>
      <c r="I203" s="1" t="s">
        <v>46</v>
      </c>
      <c r="J203" s="1" t="s">
        <v>40</v>
      </c>
      <c r="K203" s="1">
        <v>2</v>
      </c>
      <c r="L203" s="1">
        <v>600</v>
      </c>
      <c r="M203" s="1">
        <v>960</v>
      </c>
      <c r="N203" s="1">
        <v>20</v>
      </c>
      <c r="O203" s="2">
        <v>3</v>
      </c>
      <c r="P203" s="1" t="s">
        <v>38</v>
      </c>
    </row>
    <row r="204" spans="1:16">
      <c r="A204" s="1" t="s">
        <v>364</v>
      </c>
      <c r="B204" s="8">
        <v>45874</v>
      </c>
      <c r="C204" s="9" t="str">
        <f t="shared" si="3"/>
        <v>Aug</v>
      </c>
      <c r="D204" s="1" t="s">
        <v>88</v>
      </c>
      <c r="E204" s="1">
        <v>21</v>
      </c>
      <c r="F204" s="1" t="s">
        <v>66</v>
      </c>
      <c r="G204" s="1" t="s">
        <v>32</v>
      </c>
      <c r="H204" s="1" t="s">
        <v>18</v>
      </c>
      <c r="I204" s="1" t="s">
        <v>47</v>
      </c>
      <c r="J204" s="1" t="s">
        <v>44</v>
      </c>
      <c r="K204" s="1">
        <v>3</v>
      </c>
      <c r="L204" s="1">
        <v>850</v>
      </c>
      <c r="M204" s="1">
        <v>2422.5</v>
      </c>
      <c r="N204" s="1">
        <v>5</v>
      </c>
      <c r="O204" s="2">
        <v>5</v>
      </c>
      <c r="P204" s="1" t="s">
        <v>38</v>
      </c>
    </row>
    <row r="205" spans="1:16">
      <c r="A205" s="1" t="s">
        <v>365</v>
      </c>
      <c r="B205" s="8">
        <v>45815</v>
      </c>
      <c r="C205" s="9" t="str">
        <f t="shared" si="3"/>
        <v>Jun</v>
      </c>
      <c r="D205" s="1" t="s">
        <v>237</v>
      </c>
      <c r="E205" s="1">
        <v>44</v>
      </c>
      <c r="F205" s="1" t="s">
        <v>66</v>
      </c>
      <c r="G205" s="1" t="s">
        <v>26</v>
      </c>
      <c r="H205" s="1" t="s">
        <v>23</v>
      </c>
      <c r="I205" s="1" t="s">
        <v>49</v>
      </c>
      <c r="J205" s="1" t="s">
        <v>40</v>
      </c>
      <c r="K205" s="1">
        <v>2</v>
      </c>
      <c r="L205" s="1">
        <v>800</v>
      </c>
      <c r="M205" s="1">
        <v>1280</v>
      </c>
      <c r="N205" s="1">
        <v>20</v>
      </c>
      <c r="O205" s="2">
        <v>4</v>
      </c>
      <c r="P205" s="1" t="s">
        <v>36</v>
      </c>
    </row>
    <row r="206" spans="1:16">
      <c r="A206" s="1" t="s">
        <v>366</v>
      </c>
      <c r="B206" s="8">
        <v>45737</v>
      </c>
      <c r="C206" s="9" t="str">
        <f t="shared" si="3"/>
        <v>Mar</v>
      </c>
      <c r="D206" s="1" t="s">
        <v>70</v>
      </c>
      <c r="E206" s="1">
        <v>41</v>
      </c>
      <c r="F206" s="1" t="s">
        <v>63</v>
      </c>
      <c r="G206" s="1" t="s">
        <v>33</v>
      </c>
      <c r="H206" s="1" t="s">
        <v>20</v>
      </c>
      <c r="I206" s="1" t="s">
        <v>49</v>
      </c>
      <c r="J206" s="1" t="s">
        <v>41</v>
      </c>
      <c r="K206" s="1">
        <v>2</v>
      </c>
      <c r="L206" s="1">
        <v>650</v>
      </c>
      <c r="M206" s="1">
        <v>1040</v>
      </c>
      <c r="N206" s="1">
        <v>20</v>
      </c>
      <c r="O206" s="2">
        <v>3</v>
      </c>
      <c r="P206" s="1" t="s">
        <v>38</v>
      </c>
    </row>
    <row r="207" spans="1:16">
      <c r="A207" s="1" t="s">
        <v>367</v>
      </c>
      <c r="B207" s="8">
        <v>45717</v>
      </c>
      <c r="C207" s="9" t="str">
        <f t="shared" si="3"/>
        <v>Mar</v>
      </c>
      <c r="D207" s="1" t="s">
        <v>368</v>
      </c>
      <c r="E207" s="1">
        <v>45</v>
      </c>
      <c r="F207" s="1" t="s">
        <v>63</v>
      </c>
      <c r="G207" s="1" t="s">
        <v>31</v>
      </c>
      <c r="H207" s="1" t="s">
        <v>18</v>
      </c>
      <c r="I207" s="1" t="s">
        <v>47</v>
      </c>
      <c r="J207" s="1" t="s">
        <v>43</v>
      </c>
      <c r="K207" s="1">
        <v>1</v>
      </c>
      <c r="L207" s="1">
        <v>850</v>
      </c>
      <c r="M207" s="1">
        <v>807.5</v>
      </c>
      <c r="N207" s="1">
        <v>5</v>
      </c>
      <c r="O207" s="2">
        <v>3</v>
      </c>
      <c r="P207" s="1" t="s">
        <v>38</v>
      </c>
    </row>
    <row r="208" spans="1:16">
      <c r="A208" s="1" t="s">
        <v>369</v>
      </c>
      <c r="B208" s="8">
        <v>45960</v>
      </c>
      <c r="C208" s="9" t="str">
        <f t="shared" si="3"/>
        <v>Oct</v>
      </c>
      <c r="D208" s="1" t="s">
        <v>88</v>
      </c>
      <c r="E208" s="1">
        <v>18</v>
      </c>
      <c r="F208" s="1" t="s">
        <v>63</v>
      </c>
      <c r="G208" s="1" t="s">
        <v>26</v>
      </c>
      <c r="H208" s="1" t="s">
        <v>20</v>
      </c>
      <c r="I208" s="1" t="s">
        <v>49</v>
      </c>
      <c r="J208" s="1" t="s">
        <v>42</v>
      </c>
      <c r="K208" s="1">
        <v>1</v>
      </c>
      <c r="L208" s="1">
        <v>650</v>
      </c>
      <c r="M208" s="1">
        <v>552.5</v>
      </c>
      <c r="N208" s="1">
        <v>15</v>
      </c>
      <c r="O208" s="2">
        <v>5</v>
      </c>
      <c r="P208" s="1" t="s">
        <v>36</v>
      </c>
    </row>
    <row r="209" spans="1:16">
      <c r="A209" s="1" t="s">
        <v>370</v>
      </c>
      <c r="B209" s="8">
        <v>45852</v>
      </c>
      <c r="C209" s="9" t="str">
        <f t="shared" si="3"/>
        <v>Jul</v>
      </c>
      <c r="D209" s="1" t="s">
        <v>84</v>
      </c>
      <c r="E209" s="1">
        <v>34</v>
      </c>
      <c r="F209" s="1" t="s">
        <v>66</v>
      </c>
      <c r="G209" s="1" t="s">
        <v>30</v>
      </c>
      <c r="H209" s="1" t="s">
        <v>20</v>
      </c>
      <c r="I209" s="1" t="s">
        <v>49</v>
      </c>
      <c r="J209" s="1" t="s">
        <v>42</v>
      </c>
      <c r="K209" s="1">
        <v>4</v>
      </c>
      <c r="L209" s="1">
        <v>650</v>
      </c>
      <c r="M209" s="1">
        <v>2470</v>
      </c>
      <c r="N209" s="1">
        <v>5</v>
      </c>
      <c r="O209" s="2">
        <v>4</v>
      </c>
      <c r="P209" s="1" t="s">
        <v>37</v>
      </c>
    </row>
    <row r="210" spans="1:16">
      <c r="A210" s="1" t="s">
        <v>371</v>
      </c>
      <c r="B210" s="8">
        <v>45783</v>
      </c>
      <c r="C210" s="9" t="str">
        <f t="shared" si="3"/>
        <v>May</v>
      </c>
      <c r="D210" s="1" t="s">
        <v>138</v>
      </c>
      <c r="E210" s="1">
        <v>37</v>
      </c>
      <c r="F210" s="1" t="s">
        <v>66</v>
      </c>
      <c r="G210" s="1" t="s">
        <v>26</v>
      </c>
      <c r="H210" s="1" t="s">
        <v>22</v>
      </c>
      <c r="I210" s="1" t="s">
        <v>46</v>
      </c>
      <c r="J210" s="1" t="s">
        <v>40</v>
      </c>
      <c r="K210" s="1">
        <v>4</v>
      </c>
      <c r="L210" s="1">
        <v>600</v>
      </c>
      <c r="M210" s="1">
        <v>1920</v>
      </c>
      <c r="N210" s="1">
        <v>20</v>
      </c>
      <c r="O210" s="2">
        <v>5</v>
      </c>
      <c r="P210" s="1" t="s">
        <v>35</v>
      </c>
    </row>
    <row r="211" spans="1:16">
      <c r="A211" s="1" t="s">
        <v>372</v>
      </c>
      <c r="B211" s="8">
        <v>45900</v>
      </c>
      <c r="C211" s="9" t="str">
        <f t="shared" si="3"/>
        <v>Aug</v>
      </c>
      <c r="D211" s="1" t="s">
        <v>84</v>
      </c>
      <c r="E211" s="1">
        <v>29</v>
      </c>
      <c r="F211" s="1" t="s">
        <v>66</v>
      </c>
      <c r="G211" s="1" t="s">
        <v>31</v>
      </c>
      <c r="H211" s="1" t="s">
        <v>18</v>
      </c>
      <c r="I211" s="1" t="s">
        <v>47</v>
      </c>
      <c r="J211" s="1" t="s">
        <v>40</v>
      </c>
      <c r="K211" s="1">
        <v>4</v>
      </c>
      <c r="L211" s="1">
        <v>850</v>
      </c>
      <c r="M211" s="1">
        <v>3400</v>
      </c>
      <c r="N211" s="1">
        <v>0</v>
      </c>
      <c r="O211" s="2">
        <v>3</v>
      </c>
      <c r="P211" s="1" t="s">
        <v>35</v>
      </c>
    </row>
    <row r="212" spans="1:16">
      <c r="A212" s="1" t="s">
        <v>373</v>
      </c>
      <c r="B212" s="8">
        <v>45993</v>
      </c>
      <c r="C212" s="9" t="str">
        <f t="shared" si="3"/>
        <v>Dec</v>
      </c>
      <c r="D212" s="1" t="s">
        <v>275</v>
      </c>
      <c r="E212" s="1">
        <v>43</v>
      </c>
      <c r="F212" s="1" t="s">
        <v>66</v>
      </c>
      <c r="G212" s="1" t="s">
        <v>28</v>
      </c>
      <c r="H212" s="1" t="s">
        <v>19</v>
      </c>
      <c r="I212" s="1" t="s">
        <v>49</v>
      </c>
      <c r="J212" s="1" t="s">
        <v>40</v>
      </c>
      <c r="K212" s="1">
        <v>4</v>
      </c>
      <c r="L212" s="1">
        <v>700</v>
      </c>
      <c r="M212" s="1">
        <v>2660</v>
      </c>
      <c r="N212" s="1">
        <v>5</v>
      </c>
      <c r="O212" s="2">
        <v>3</v>
      </c>
      <c r="P212" s="1" t="s">
        <v>36</v>
      </c>
    </row>
    <row r="213" spans="1:16">
      <c r="A213" s="1" t="s">
        <v>374</v>
      </c>
      <c r="B213" s="8">
        <v>45910</v>
      </c>
      <c r="C213" s="9" t="str">
        <f t="shared" si="3"/>
        <v>Sep</v>
      </c>
      <c r="D213" s="1" t="s">
        <v>177</v>
      </c>
      <c r="E213" s="1">
        <v>40</v>
      </c>
      <c r="F213" s="1" t="s">
        <v>66</v>
      </c>
      <c r="G213" s="1" t="s">
        <v>33</v>
      </c>
      <c r="H213" s="1" t="s">
        <v>20</v>
      </c>
      <c r="I213" s="1" t="s">
        <v>49</v>
      </c>
      <c r="J213" s="1" t="s">
        <v>43</v>
      </c>
      <c r="K213" s="1">
        <v>3</v>
      </c>
      <c r="L213" s="1">
        <v>650</v>
      </c>
      <c r="M213" s="1">
        <v>1950</v>
      </c>
      <c r="N213" s="1">
        <v>0</v>
      </c>
      <c r="O213" s="2">
        <v>4</v>
      </c>
      <c r="P213" s="1" t="s">
        <v>35</v>
      </c>
    </row>
    <row r="214" spans="1:16">
      <c r="A214" s="1" t="s">
        <v>375</v>
      </c>
      <c r="B214" s="8">
        <v>45815</v>
      </c>
      <c r="C214" s="9" t="str">
        <f t="shared" si="3"/>
        <v>Jun</v>
      </c>
      <c r="D214" s="1" t="s">
        <v>188</v>
      </c>
      <c r="E214" s="1">
        <v>39</v>
      </c>
      <c r="F214" s="1" t="s">
        <v>63</v>
      </c>
      <c r="G214" s="1" t="s">
        <v>32</v>
      </c>
      <c r="H214" s="1" t="s">
        <v>24</v>
      </c>
      <c r="I214" s="1" t="s">
        <v>49</v>
      </c>
      <c r="J214" s="1" t="s">
        <v>43</v>
      </c>
      <c r="K214" s="1">
        <v>4</v>
      </c>
      <c r="L214" s="1">
        <v>550</v>
      </c>
      <c r="M214" s="1">
        <v>1760</v>
      </c>
      <c r="N214" s="1">
        <v>20</v>
      </c>
      <c r="O214" s="2">
        <v>5</v>
      </c>
      <c r="P214" s="1" t="s">
        <v>36</v>
      </c>
    </row>
    <row r="215" spans="1:16">
      <c r="A215" s="1" t="s">
        <v>376</v>
      </c>
      <c r="B215" s="8">
        <v>45818</v>
      </c>
      <c r="C215" s="9" t="str">
        <f t="shared" si="3"/>
        <v>Jun</v>
      </c>
      <c r="D215" s="1" t="s">
        <v>282</v>
      </c>
      <c r="E215" s="1">
        <v>37</v>
      </c>
      <c r="F215" s="1" t="s">
        <v>66</v>
      </c>
      <c r="G215" s="1" t="s">
        <v>33</v>
      </c>
      <c r="H215" s="1" t="s">
        <v>22</v>
      </c>
      <c r="I215" s="1" t="s">
        <v>46</v>
      </c>
      <c r="J215" s="1" t="s">
        <v>43</v>
      </c>
      <c r="K215" s="1">
        <v>3</v>
      </c>
      <c r="L215" s="1">
        <v>600</v>
      </c>
      <c r="M215" s="1">
        <v>1620</v>
      </c>
      <c r="N215" s="1">
        <v>10</v>
      </c>
      <c r="O215" s="2">
        <v>4</v>
      </c>
      <c r="P215" s="1" t="s">
        <v>38</v>
      </c>
    </row>
    <row r="216" spans="1:16">
      <c r="A216" s="1" t="s">
        <v>377</v>
      </c>
      <c r="B216" s="8">
        <v>45982</v>
      </c>
      <c r="C216" s="9" t="str">
        <f t="shared" si="3"/>
        <v>Nov</v>
      </c>
      <c r="D216" s="1" t="s">
        <v>162</v>
      </c>
      <c r="E216" s="1">
        <v>22</v>
      </c>
      <c r="F216" s="1" t="s">
        <v>63</v>
      </c>
      <c r="G216" s="1" t="s">
        <v>29</v>
      </c>
      <c r="H216" s="1" t="s">
        <v>24</v>
      </c>
      <c r="I216" s="1" t="s">
        <v>49</v>
      </c>
      <c r="J216" s="1" t="s">
        <v>40</v>
      </c>
      <c r="K216" s="1">
        <v>4</v>
      </c>
      <c r="L216" s="1">
        <v>550</v>
      </c>
      <c r="M216" s="1">
        <v>2200</v>
      </c>
      <c r="N216" s="1">
        <v>0</v>
      </c>
      <c r="O216" s="2">
        <v>3</v>
      </c>
      <c r="P216" s="1" t="s">
        <v>37</v>
      </c>
    </row>
    <row r="217" spans="1:16">
      <c r="A217" s="1" t="s">
        <v>378</v>
      </c>
      <c r="B217" s="8">
        <v>45997</v>
      </c>
      <c r="C217" s="9" t="str">
        <f t="shared" si="3"/>
        <v>Dec</v>
      </c>
      <c r="D217" s="1" t="s">
        <v>213</v>
      </c>
      <c r="E217" s="1">
        <v>35</v>
      </c>
      <c r="F217" s="1" t="s">
        <v>66</v>
      </c>
      <c r="G217" s="1" t="s">
        <v>32</v>
      </c>
      <c r="H217" s="1" t="s">
        <v>22</v>
      </c>
      <c r="I217" s="1" t="s">
        <v>46</v>
      </c>
      <c r="J217" s="1" t="s">
        <v>40</v>
      </c>
      <c r="K217" s="1">
        <v>2</v>
      </c>
      <c r="L217" s="1">
        <v>600</v>
      </c>
      <c r="M217" s="1">
        <v>960</v>
      </c>
      <c r="N217" s="1">
        <v>20</v>
      </c>
      <c r="O217" s="2">
        <v>5</v>
      </c>
      <c r="P217" s="1" t="s">
        <v>38</v>
      </c>
    </row>
    <row r="218" spans="1:16">
      <c r="A218" s="1" t="s">
        <v>379</v>
      </c>
      <c r="B218" s="8">
        <v>45811</v>
      </c>
      <c r="C218" s="9" t="str">
        <f t="shared" si="3"/>
        <v>Jun</v>
      </c>
      <c r="D218" s="1" t="s">
        <v>380</v>
      </c>
      <c r="E218" s="1">
        <v>43</v>
      </c>
      <c r="F218" s="1" t="s">
        <v>63</v>
      </c>
      <c r="G218" s="1" t="s">
        <v>33</v>
      </c>
      <c r="H218" s="1" t="s">
        <v>19</v>
      </c>
      <c r="I218" s="1" t="s">
        <v>49</v>
      </c>
      <c r="J218" s="1" t="s">
        <v>41</v>
      </c>
      <c r="K218" s="1">
        <v>1</v>
      </c>
      <c r="L218" s="1">
        <v>700</v>
      </c>
      <c r="M218" s="1">
        <v>665</v>
      </c>
      <c r="N218" s="1">
        <v>5</v>
      </c>
      <c r="O218" s="2">
        <v>5</v>
      </c>
      <c r="P218" s="1" t="s">
        <v>35</v>
      </c>
    </row>
    <row r="219" spans="1:16">
      <c r="A219" s="1" t="s">
        <v>381</v>
      </c>
      <c r="B219" s="8">
        <v>46004</v>
      </c>
      <c r="C219" s="9" t="str">
        <f t="shared" si="3"/>
        <v>Dec</v>
      </c>
      <c r="D219" s="1" t="s">
        <v>220</v>
      </c>
      <c r="E219" s="1">
        <v>33</v>
      </c>
      <c r="F219" s="1" t="s">
        <v>63</v>
      </c>
      <c r="G219" s="1" t="s">
        <v>29</v>
      </c>
      <c r="H219" s="1" t="s">
        <v>20</v>
      </c>
      <c r="I219" s="1" t="s">
        <v>49</v>
      </c>
      <c r="J219" s="1" t="s">
        <v>44</v>
      </c>
      <c r="K219" s="1">
        <v>1</v>
      </c>
      <c r="L219" s="1">
        <v>650</v>
      </c>
      <c r="M219" s="1">
        <v>617.5</v>
      </c>
      <c r="N219" s="1">
        <v>5</v>
      </c>
      <c r="O219" s="2">
        <v>3</v>
      </c>
      <c r="P219" s="1" t="s">
        <v>38</v>
      </c>
    </row>
    <row r="220" spans="1:16">
      <c r="A220" s="1" t="s">
        <v>382</v>
      </c>
      <c r="B220" s="8">
        <v>45779</v>
      </c>
      <c r="C220" s="9" t="str">
        <f t="shared" si="3"/>
        <v>May</v>
      </c>
      <c r="D220" s="1" t="s">
        <v>134</v>
      </c>
      <c r="E220" s="1">
        <v>34</v>
      </c>
      <c r="F220" s="1" t="s">
        <v>66</v>
      </c>
      <c r="G220" s="1" t="s">
        <v>28</v>
      </c>
      <c r="H220" s="1" t="s">
        <v>18</v>
      </c>
      <c r="I220" s="1" t="s">
        <v>47</v>
      </c>
      <c r="J220" s="1" t="s">
        <v>44</v>
      </c>
      <c r="K220" s="1">
        <v>2</v>
      </c>
      <c r="L220" s="1">
        <v>850</v>
      </c>
      <c r="M220" s="1">
        <v>1615</v>
      </c>
      <c r="N220" s="1">
        <v>5</v>
      </c>
      <c r="O220" s="2">
        <v>4</v>
      </c>
      <c r="P220" s="1" t="s">
        <v>37</v>
      </c>
    </row>
    <row r="221" spans="1:16">
      <c r="A221" s="1" t="s">
        <v>383</v>
      </c>
      <c r="B221" s="8">
        <v>45896</v>
      </c>
      <c r="C221" s="9" t="str">
        <f t="shared" si="3"/>
        <v>Aug</v>
      </c>
      <c r="D221" s="1" t="s">
        <v>206</v>
      </c>
      <c r="E221" s="1">
        <v>37</v>
      </c>
      <c r="F221" s="1" t="s">
        <v>63</v>
      </c>
      <c r="G221" s="1" t="s">
        <v>28</v>
      </c>
      <c r="H221" s="1" t="s">
        <v>17</v>
      </c>
      <c r="I221" s="1" t="s">
        <v>48</v>
      </c>
      <c r="J221" s="1" t="s">
        <v>44</v>
      </c>
      <c r="K221" s="1">
        <v>2</v>
      </c>
      <c r="L221" s="1">
        <v>900</v>
      </c>
      <c r="M221" s="1">
        <v>1530</v>
      </c>
      <c r="N221" s="1">
        <v>15</v>
      </c>
      <c r="O221" s="2">
        <v>4</v>
      </c>
      <c r="P221" s="1" t="s">
        <v>38</v>
      </c>
    </row>
    <row r="222" spans="1:16">
      <c r="A222" s="1" t="s">
        <v>384</v>
      </c>
      <c r="B222" s="8">
        <v>45667</v>
      </c>
      <c r="C222" s="9" t="str">
        <f t="shared" si="3"/>
        <v>Jan</v>
      </c>
      <c r="D222" s="1" t="s">
        <v>140</v>
      </c>
      <c r="E222" s="1">
        <v>29</v>
      </c>
      <c r="F222" s="1" t="s">
        <v>66</v>
      </c>
      <c r="G222" s="1" t="s">
        <v>31</v>
      </c>
      <c r="H222" s="1" t="s">
        <v>19</v>
      </c>
      <c r="I222" s="1" t="s">
        <v>49</v>
      </c>
      <c r="J222" s="1" t="s">
        <v>44</v>
      </c>
      <c r="K222" s="1">
        <v>2</v>
      </c>
      <c r="L222" s="1">
        <v>700</v>
      </c>
      <c r="M222" s="1">
        <v>1330</v>
      </c>
      <c r="N222" s="1">
        <v>5</v>
      </c>
      <c r="O222" s="2">
        <v>4</v>
      </c>
      <c r="P222" s="1" t="s">
        <v>35</v>
      </c>
    </row>
    <row r="223" spans="1:16">
      <c r="A223" s="1" t="s">
        <v>385</v>
      </c>
      <c r="B223" s="8">
        <v>45989</v>
      </c>
      <c r="C223" s="9" t="str">
        <f t="shared" si="3"/>
        <v>Nov</v>
      </c>
      <c r="D223" s="1" t="s">
        <v>288</v>
      </c>
      <c r="E223" s="1">
        <v>25</v>
      </c>
      <c r="F223" s="1" t="s">
        <v>66</v>
      </c>
      <c r="G223" s="1" t="s">
        <v>32</v>
      </c>
      <c r="H223" s="1" t="s">
        <v>17</v>
      </c>
      <c r="I223" s="1" t="s">
        <v>48</v>
      </c>
      <c r="J223" s="1" t="s">
        <v>41</v>
      </c>
      <c r="K223" s="1">
        <v>4</v>
      </c>
      <c r="L223" s="1">
        <v>900</v>
      </c>
      <c r="M223" s="1">
        <v>3240</v>
      </c>
      <c r="N223" s="1">
        <v>10</v>
      </c>
      <c r="O223" s="2">
        <v>5</v>
      </c>
      <c r="P223" s="1" t="s">
        <v>37</v>
      </c>
    </row>
    <row r="224" spans="1:16">
      <c r="A224" s="1" t="s">
        <v>386</v>
      </c>
      <c r="B224" s="8">
        <v>45848</v>
      </c>
      <c r="C224" s="9" t="str">
        <f t="shared" si="3"/>
        <v>Jul</v>
      </c>
      <c r="D224" s="1" t="s">
        <v>70</v>
      </c>
      <c r="E224" s="1">
        <v>34</v>
      </c>
      <c r="F224" s="1" t="s">
        <v>66</v>
      </c>
      <c r="G224" s="1" t="s">
        <v>28</v>
      </c>
      <c r="H224" s="1" t="s">
        <v>22</v>
      </c>
      <c r="I224" s="1" t="s">
        <v>46</v>
      </c>
      <c r="J224" s="1" t="s">
        <v>44</v>
      </c>
      <c r="K224" s="1">
        <v>2</v>
      </c>
      <c r="L224" s="1">
        <v>600</v>
      </c>
      <c r="M224" s="1">
        <v>960</v>
      </c>
      <c r="N224" s="1">
        <v>20</v>
      </c>
      <c r="O224" s="2">
        <v>4</v>
      </c>
      <c r="P224" s="1" t="s">
        <v>36</v>
      </c>
    </row>
    <row r="225" spans="1:16">
      <c r="A225" s="1" t="s">
        <v>387</v>
      </c>
      <c r="B225" s="8">
        <v>45793</v>
      </c>
      <c r="C225" s="9" t="str">
        <f t="shared" si="3"/>
        <v>May</v>
      </c>
      <c r="D225" s="1" t="s">
        <v>237</v>
      </c>
      <c r="E225" s="1">
        <v>34</v>
      </c>
      <c r="F225" s="1" t="s">
        <v>63</v>
      </c>
      <c r="G225" s="1" t="s">
        <v>32</v>
      </c>
      <c r="H225" s="1" t="s">
        <v>24</v>
      </c>
      <c r="I225" s="1" t="s">
        <v>49</v>
      </c>
      <c r="J225" s="1" t="s">
        <v>44</v>
      </c>
      <c r="K225" s="1">
        <v>1</v>
      </c>
      <c r="L225" s="1">
        <v>550</v>
      </c>
      <c r="M225" s="1">
        <v>550</v>
      </c>
      <c r="N225" s="1">
        <v>0</v>
      </c>
      <c r="O225" s="2">
        <v>5</v>
      </c>
      <c r="P225" s="1" t="s">
        <v>36</v>
      </c>
    </row>
    <row r="226" spans="1:16">
      <c r="A226" s="1" t="s">
        <v>388</v>
      </c>
      <c r="B226" s="8">
        <v>45959</v>
      </c>
      <c r="C226" s="9" t="str">
        <f t="shared" si="3"/>
        <v>Oct</v>
      </c>
      <c r="D226" s="1" t="s">
        <v>169</v>
      </c>
      <c r="E226" s="1">
        <v>27</v>
      </c>
      <c r="F226" s="1" t="s">
        <v>63</v>
      </c>
      <c r="G226" s="1" t="s">
        <v>29</v>
      </c>
      <c r="H226" s="1" t="s">
        <v>23</v>
      </c>
      <c r="I226" s="1" t="s">
        <v>49</v>
      </c>
      <c r="J226" s="1" t="s">
        <v>44</v>
      </c>
      <c r="K226" s="1">
        <v>2</v>
      </c>
      <c r="L226" s="1">
        <v>800</v>
      </c>
      <c r="M226" s="1">
        <v>1520</v>
      </c>
      <c r="N226" s="1">
        <v>5</v>
      </c>
      <c r="O226" s="2">
        <v>3</v>
      </c>
      <c r="P226" s="1" t="s">
        <v>37</v>
      </c>
    </row>
    <row r="227" spans="1:16">
      <c r="A227" s="1" t="s">
        <v>389</v>
      </c>
      <c r="B227" s="8">
        <v>45759</v>
      </c>
      <c r="C227" s="9" t="str">
        <f t="shared" si="3"/>
        <v>Apr</v>
      </c>
      <c r="D227" s="1" t="s">
        <v>119</v>
      </c>
      <c r="E227" s="1">
        <v>31</v>
      </c>
      <c r="F227" s="1" t="s">
        <v>66</v>
      </c>
      <c r="G227" s="1" t="s">
        <v>32</v>
      </c>
      <c r="H227" s="1" t="s">
        <v>20</v>
      </c>
      <c r="I227" s="1" t="s">
        <v>49</v>
      </c>
      <c r="J227" s="1" t="s">
        <v>40</v>
      </c>
      <c r="K227" s="1">
        <v>4</v>
      </c>
      <c r="L227" s="1">
        <v>650</v>
      </c>
      <c r="M227" s="1">
        <v>2470</v>
      </c>
      <c r="N227" s="1">
        <v>5</v>
      </c>
      <c r="O227" s="2">
        <v>4</v>
      </c>
      <c r="P227" s="1" t="s">
        <v>36</v>
      </c>
    </row>
    <row r="228" spans="1:16">
      <c r="A228" s="1" t="s">
        <v>390</v>
      </c>
      <c r="B228" s="8">
        <v>45705</v>
      </c>
      <c r="C228" s="9" t="str">
        <f t="shared" si="3"/>
        <v>Feb</v>
      </c>
      <c r="D228" s="1" t="s">
        <v>196</v>
      </c>
      <c r="E228" s="1">
        <v>44</v>
      </c>
      <c r="F228" s="1" t="s">
        <v>63</v>
      </c>
      <c r="G228" s="1" t="s">
        <v>31</v>
      </c>
      <c r="H228" s="1" t="s">
        <v>18</v>
      </c>
      <c r="I228" s="1" t="s">
        <v>47</v>
      </c>
      <c r="J228" s="1" t="s">
        <v>44</v>
      </c>
      <c r="K228" s="1">
        <v>1</v>
      </c>
      <c r="L228" s="1">
        <v>850</v>
      </c>
      <c r="M228" s="1">
        <v>807.5</v>
      </c>
      <c r="N228" s="1">
        <v>5</v>
      </c>
      <c r="O228" s="2">
        <v>4</v>
      </c>
      <c r="P228" s="1" t="s">
        <v>37</v>
      </c>
    </row>
    <row r="229" spans="1:16">
      <c r="A229" s="1" t="s">
        <v>391</v>
      </c>
      <c r="B229" s="8">
        <v>45753</v>
      </c>
      <c r="C229" s="9" t="str">
        <f t="shared" si="3"/>
        <v>Apr</v>
      </c>
      <c r="D229" s="1" t="s">
        <v>194</v>
      </c>
      <c r="E229" s="1">
        <v>22</v>
      </c>
      <c r="F229" s="1" t="s">
        <v>66</v>
      </c>
      <c r="G229" s="1" t="s">
        <v>29</v>
      </c>
      <c r="H229" s="1" t="s">
        <v>17</v>
      </c>
      <c r="I229" s="1" t="s">
        <v>48</v>
      </c>
      <c r="J229" s="1" t="s">
        <v>40</v>
      </c>
      <c r="K229" s="1">
        <v>1</v>
      </c>
      <c r="L229" s="1">
        <v>900</v>
      </c>
      <c r="M229" s="1">
        <v>900</v>
      </c>
      <c r="N229" s="1">
        <v>0</v>
      </c>
      <c r="O229" s="2">
        <v>5</v>
      </c>
      <c r="P229" s="1" t="s">
        <v>36</v>
      </c>
    </row>
    <row r="230" spans="1:16">
      <c r="A230" s="1" t="s">
        <v>392</v>
      </c>
      <c r="B230" s="8">
        <v>45695</v>
      </c>
      <c r="C230" s="9" t="str">
        <f t="shared" si="3"/>
        <v>Feb</v>
      </c>
      <c r="D230" s="1" t="s">
        <v>132</v>
      </c>
      <c r="E230" s="1">
        <v>32</v>
      </c>
      <c r="F230" s="1" t="s">
        <v>63</v>
      </c>
      <c r="G230" s="1" t="s">
        <v>31</v>
      </c>
      <c r="H230" s="1" t="s">
        <v>19</v>
      </c>
      <c r="I230" s="1" t="s">
        <v>49</v>
      </c>
      <c r="J230" s="1" t="s">
        <v>44</v>
      </c>
      <c r="K230" s="1">
        <v>4</v>
      </c>
      <c r="L230" s="1">
        <v>700</v>
      </c>
      <c r="M230" s="1">
        <v>2800</v>
      </c>
      <c r="N230" s="1">
        <v>0</v>
      </c>
      <c r="O230" s="2">
        <v>4</v>
      </c>
      <c r="P230" s="1" t="s">
        <v>35</v>
      </c>
    </row>
    <row r="231" spans="1:16">
      <c r="A231" s="1" t="s">
        <v>393</v>
      </c>
      <c r="B231" s="8">
        <v>45674</v>
      </c>
      <c r="C231" s="9" t="str">
        <f t="shared" si="3"/>
        <v>Jan</v>
      </c>
      <c r="D231" s="1" t="s">
        <v>144</v>
      </c>
      <c r="E231" s="1">
        <v>29</v>
      </c>
      <c r="F231" s="1" t="s">
        <v>63</v>
      </c>
      <c r="G231" s="1" t="s">
        <v>27</v>
      </c>
      <c r="H231" s="1" t="s">
        <v>18</v>
      </c>
      <c r="I231" s="1" t="s">
        <v>47</v>
      </c>
      <c r="J231" s="1" t="s">
        <v>41</v>
      </c>
      <c r="K231" s="1">
        <v>3</v>
      </c>
      <c r="L231" s="1">
        <v>850</v>
      </c>
      <c r="M231" s="1">
        <v>2040</v>
      </c>
      <c r="N231" s="1">
        <v>20</v>
      </c>
      <c r="O231" s="2">
        <v>5</v>
      </c>
      <c r="P231" s="1" t="s">
        <v>37</v>
      </c>
    </row>
    <row r="232" spans="1:16">
      <c r="A232" s="1" t="s">
        <v>394</v>
      </c>
      <c r="B232" s="8">
        <v>45709</v>
      </c>
      <c r="C232" s="9" t="str">
        <f t="shared" si="3"/>
        <v>Feb</v>
      </c>
      <c r="D232" s="1" t="s">
        <v>72</v>
      </c>
      <c r="E232" s="1">
        <v>27</v>
      </c>
      <c r="F232" s="1" t="s">
        <v>66</v>
      </c>
      <c r="G232" s="1" t="s">
        <v>28</v>
      </c>
      <c r="H232" s="1" t="s">
        <v>23</v>
      </c>
      <c r="I232" s="1" t="s">
        <v>49</v>
      </c>
      <c r="J232" s="1" t="s">
        <v>44</v>
      </c>
      <c r="K232" s="1">
        <v>3</v>
      </c>
      <c r="L232" s="1">
        <v>800</v>
      </c>
      <c r="M232" s="1">
        <v>2400</v>
      </c>
      <c r="N232" s="1">
        <v>0</v>
      </c>
      <c r="O232" s="2">
        <v>4</v>
      </c>
      <c r="P232" s="1" t="s">
        <v>35</v>
      </c>
    </row>
    <row r="233" spans="1:16">
      <c r="A233" s="1" t="s">
        <v>395</v>
      </c>
      <c r="B233" s="8">
        <v>45906</v>
      </c>
      <c r="C233" s="9" t="str">
        <f t="shared" si="3"/>
        <v>Sep</v>
      </c>
      <c r="D233" s="1" t="s">
        <v>237</v>
      </c>
      <c r="E233" s="1">
        <v>34</v>
      </c>
      <c r="F233" s="1" t="s">
        <v>63</v>
      </c>
      <c r="G233" s="1" t="s">
        <v>29</v>
      </c>
      <c r="H233" s="1" t="s">
        <v>19</v>
      </c>
      <c r="I233" s="1" t="s">
        <v>49</v>
      </c>
      <c r="J233" s="1" t="s">
        <v>44</v>
      </c>
      <c r="K233" s="1">
        <v>4</v>
      </c>
      <c r="L233" s="1">
        <v>700</v>
      </c>
      <c r="M233" s="1">
        <v>2660</v>
      </c>
      <c r="N233" s="1">
        <v>5</v>
      </c>
      <c r="O233" s="2">
        <v>3</v>
      </c>
      <c r="P233" s="1" t="s">
        <v>38</v>
      </c>
    </row>
    <row r="234" spans="1:16">
      <c r="A234" s="1" t="s">
        <v>396</v>
      </c>
      <c r="B234" s="8">
        <v>45939</v>
      </c>
      <c r="C234" s="9" t="str">
        <f t="shared" si="3"/>
        <v>Oct</v>
      </c>
      <c r="D234" s="1" t="s">
        <v>209</v>
      </c>
      <c r="E234" s="1">
        <v>37</v>
      </c>
      <c r="F234" s="1" t="s">
        <v>66</v>
      </c>
      <c r="G234" s="1" t="s">
        <v>30</v>
      </c>
      <c r="H234" s="1" t="s">
        <v>22</v>
      </c>
      <c r="I234" s="1" t="s">
        <v>46</v>
      </c>
      <c r="J234" s="1" t="s">
        <v>40</v>
      </c>
      <c r="K234" s="1">
        <v>4</v>
      </c>
      <c r="L234" s="1">
        <v>600</v>
      </c>
      <c r="M234" s="1">
        <v>1920</v>
      </c>
      <c r="N234" s="1">
        <v>20</v>
      </c>
      <c r="O234" s="2">
        <v>5</v>
      </c>
      <c r="P234" s="1" t="s">
        <v>38</v>
      </c>
    </row>
    <row r="235" spans="1:16">
      <c r="A235" s="1" t="s">
        <v>397</v>
      </c>
      <c r="B235" s="8">
        <v>45876</v>
      </c>
      <c r="C235" s="9" t="str">
        <f t="shared" si="3"/>
        <v>Aug</v>
      </c>
      <c r="D235" s="1" t="s">
        <v>65</v>
      </c>
      <c r="E235" s="1">
        <v>40</v>
      </c>
      <c r="F235" s="1" t="s">
        <v>63</v>
      </c>
      <c r="G235" s="1" t="s">
        <v>30</v>
      </c>
      <c r="H235" s="1" t="s">
        <v>18</v>
      </c>
      <c r="I235" s="1" t="s">
        <v>47</v>
      </c>
      <c r="J235" s="1" t="s">
        <v>42</v>
      </c>
      <c r="K235" s="1">
        <v>3</v>
      </c>
      <c r="L235" s="1">
        <v>850</v>
      </c>
      <c r="M235" s="1">
        <v>2040</v>
      </c>
      <c r="N235" s="1">
        <v>20</v>
      </c>
      <c r="O235" s="2">
        <v>4</v>
      </c>
      <c r="P235" s="1" t="s">
        <v>36</v>
      </c>
    </row>
    <row r="236" spans="1:16">
      <c r="A236" s="1" t="s">
        <v>398</v>
      </c>
      <c r="B236" s="8">
        <v>45771</v>
      </c>
      <c r="C236" s="9" t="str">
        <f t="shared" si="3"/>
        <v>Apr</v>
      </c>
      <c r="D236" s="1" t="s">
        <v>68</v>
      </c>
      <c r="E236" s="1">
        <v>18</v>
      </c>
      <c r="F236" s="1" t="s">
        <v>66</v>
      </c>
      <c r="G236" s="1" t="s">
        <v>27</v>
      </c>
      <c r="H236" s="1" t="s">
        <v>24</v>
      </c>
      <c r="I236" s="1" t="s">
        <v>49</v>
      </c>
      <c r="J236" s="1" t="s">
        <v>41</v>
      </c>
      <c r="K236" s="1">
        <v>3</v>
      </c>
      <c r="L236" s="1">
        <v>550</v>
      </c>
      <c r="M236" s="1">
        <v>1402.5</v>
      </c>
      <c r="N236" s="1">
        <v>15</v>
      </c>
      <c r="O236" s="2">
        <v>3</v>
      </c>
      <c r="P236" s="1" t="s">
        <v>37</v>
      </c>
    </row>
    <row r="237" spans="1:16">
      <c r="A237" s="1" t="s">
        <v>399</v>
      </c>
      <c r="B237" s="8">
        <v>45978</v>
      </c>
      <c r="C237" s="9" t="str">
        <f t="shared" si="3"/>
        <v>Nov</v>
      </c>
      <c r="D237" s="1" t="s">
        <v>292</v>
      </c>
      <c r="E237" s="1">
        <v>19</v>
      </c>
      <c r="F237" s="1" t="s">
        <v>63</v>
      </c>
      <c r="G237" s="1" t="s">
        <v>30</v>
      </c>
      <c r="H237" s="1" t="s">
        <v>23</v>
      </c>
      <c r="I237" s="1" t="s">
        <v>49</v>
      </c>
      <c r="J237" s="1" t="s">
        <v>42</v>
      </c>
      <c r="K237" s="1">
        <v>1</v>
      </c>
      <c r="L237" s="1">
        <v>800</v>
      </c>
      <c r="M237" s="1">
        <v>640</v>
      </c>
      <c r="N237" s="1">
        <v>20</v>
      </c>
      <c r="O237" s="2">
        <v>5</v>
      </c>
      <c r="P237" s="1" t="s">
        <v>36</v>
      </c>
    </row>
    <row r="238" spans="1:16">
      <c r="A238" s="1" t="s">
        <v>400</v>
      </c>
      <c r="B238" s="8">
        <v>45727</v>
      </c>
      <c r="C238" s="9" t="str">
        <f t="shared" si="3"/>
        <v>Mar</v>
      </c>
      <c r="D238" s="1" t="s">
        <v>192</v>
      </c>
      <c r="E238" s="1">
        <v>41</v>
      </c>
      <c r="F238" s="1" t="s">
        <v>66</v>
      </c>
      <c r="G238" s="1" t="s">
        <v>31</v>
      </c>
      <c r="H238" s="1" t="s">
        <v>20</v>
      </c>
      <c r="I238" s="1" t="s">
        <v>49</v>
      </c>
      <c r="J238" s="1" t="s">
        <v>44</v>
      </c>
      <c r="K238" s="1">
        <v>1</v>
      </c>
      <c r="L238" s="1">
        <v>650</v>
      </c>
      <c r="M238" s="1">
        <v>585</v>
      </c>
      <c r="N238" s="1">
        <v>10</v>
      </c>
      <c r="O238" s="2">
        <v>4</v>
      </c>
      <c r="P238" s="1" t="s">
        <v>38</v>
      </c>
    </row>
    <row r="239" spans="1:16">
      <c r="A239" s="1" t="s">
        <v>401</v>
      </c>
      <c r="B239" s="8">
        <v>45673</v>
      </c>
      <c r="C239" s="9" t="str">
        <f t="shared" si="3"/>
        <v>Jan</v>
      </c>
      <c r="D239" s="1" t="s">
        <v>262</v>
      </c>
      <c r="E239" s="1">
        <v>23</v>
      </c>
      <c r="F239" s="1" t="s">
        <v>63</v>
      </c>
      <c r="G239" s="1" t="s">
        <v>28</v>
      </c>
      <c r="H239" s="1" t="s">
        <v>21</v>
      </c>
      <c r="I239" s="1" t="s">
        <v>50</v>
      </c>
      <c r="J239" s="1" t="s">
        <v>40</v>
      </c>
      <c r="K239" s="1">
        <v>1</v>
      </c>
      <c r="L239" s="1">
        <v>750</v>
      </c>
      <c r="M239" s="1">
        <v>712.5</v>
      </c>
      <c r="N239" s="1">
        <v>5</v>
      </c>
      <c r="O239" s="2">
        <v>3</v>
      </c>
      <c r="P239" s="1" t="s">
        <v>36</v>
      </c>
    </row>
    <row r="240" spans="1:16">
      <c r="A240" s="1" t="s">
        <v>402</v>
      </c>
      <c r="B240" s="8">
        <v>45838</v>
      </c>
      <c r="C240" s="9" t="str">
        <f t="shared" si="3"/>
        <v>Jun</v>
      </c>
      <c r="D240" s="1" t="s">
        <v>268</v>
      </c>
      <c r="E240" s="1">
        <v>35</v>
      </c>
      <c r="F240" s="1" t="s">
        <v>63</v>
      </c>
      <c r="G240" s="1" t="s">
        <v>26</v>
      </c>
      <c r="H240" s="1" t="s">
        <v>23</v>
      </c>
      <c r="I240" s="1" t="s">
        <v>49</v>
      </c>
      <c r="J240" s="1" t="s">
        <v>42</v>
      </c>
      <c r="K240" s="1">
        <v>3</v>
      </c>
      <c r="L240" s="1">
        <v>800</v>
      </c>
      <c r="M240" s="1">
        <v>2040</v>
      </c>
      <c r="N240" s="1">
        <v>15</v>
      </c>
      <c r="O240" s="2">
        <v>3</v>
      </c>
      <c r="P240" s="1" t="s">
        <v>37</v>
      </c>
    </row>
    <row r="241" spans="1:16">
      <c r="A241" s="1" t="s">
        <v>403</v>
      </c>
      <c r="B241" s="8">
        <v>45995</v>
      </c>
      <c r="C241" s="9" t="str">
        <f t="shared" si="3"/>
        <v>Dec</v>
      </c>
      <c r="D241" s="1" t="s">
        <v>150</v>
      </c>
      <c r="E241" s="1">
        <v>29</v>
      </c>
      <c r="F241" s="1" t="s">
        <v>63</v>
      </c>
      <c r="G241" s="1" t="s">
        <v>27</v>
      </c>
      <c r="H241" s="1" t="s">
        <v>19</v>
      </c>
      <c r="I241" s="1" t="s">
        <v>49</v>
      </c>
      <c r="J241" s="1" t="s">
        <v>40</v>
      </c>
      <c r="K241" s="1">
        <v>4</v>
      </c>
      <c r="L241" s="1">
        <v>700</v>
      </c>
      <c r="M241" s="1">
        <v>2380</v>
      </c>
      <c r="N241" s="1">
        <v>15</v>
      </c>
      <c r="O241" s="2">
        <v>4</v>
      </c>
      <c r="P241" s="1" t="s">
        <v>35</v>
      </c>
    </row>
    <row r="242" spans="1:16">
      <c r="A242" s="1" t="s">
        <v>404</v>
      </c>
      <c r="B242" s="8">
        <v>45768</v>
      </c>
      <c r="C242" s="9" t="str">
        <f t="shared" si="3"/>
        <v>Apr</v>
      </c>
      <c r="D242" s="1" t="s">
        <v>188</v>
      </c>
      <c r="E242" s="1">
        <v>30</v>
      </c>
      <c r="F242" s="1" t="s">
        <v>63</v>
      </c>
      <c r="G242" s="1" t="s">
        <v>29</v>
      </c>
      <c r="H242" s="1" t="s">
        <v>23</v>
      </c>
      <c r="I242" s="1" t="s">
        <v>49</v>
      </c>
      <c r="J242" s="1" t="s">
        <v>44</v>
      </c>
      <c r="K242" s="1">
        <v>2</v>
      </c>
      <c r="L242" s="1">
        <v>800</v>
      </c>
      <c r="M242" s="1">
        <v>1280</v>
      </c>
      <c r="N242" s="1">
        <v>20</v>
      </c>
      <c r="O242" s="2">
        <v>4</v>
      </c>
      <c r="P242" s="1" t="s">
        <v>38</v>
      </c>
    </row>
    <row r="243" spans="1:16">
      <c r="A243" s="1" t="s">
        <v>405</v>
      </c>
      <c r="B243" s="8">
        <v>45744</v>
      </c>
      <c r="C243" s="9" t="str">
        <f t="shared" si="3"/>
        <v>Mar</v>
      </c>
      <c r="D243" s="1" t="s">
        <v>307</v>
      </c>
      <c r="E243" s="1">
        <v>44</v>
      </c>
      <c r="F243" s="1" t="s">
        <v>66</v>
      </c>
      <c r="G243" s="1" t="s">
        <v>32</v>
      </c>
      <c r="H243" s="1" t="s">
        <v>18</v>
      </c>
      <c r="I243" s="1" t="s">
        <v>47</v>
      </c>
      <c r="J243" s="1" t="s">
        <v>41</v>
      </c>
      <c r="K243" s="1">
        <v>2</v>
      </c>
      <c r="L243" s="1">
        <v>850</v>
      </c>
      <c r="M243" s="1">
        <v>1700</v>
      </c>
      <c r="N243" s="1">
        <v>0</v>
      </c>
      <c r="O243" s="2">
        <v>3</v>
      </c>
      <c r="P243" s="1" t="s">
        <v>38</v>
      </c>
    </row>
    <row r="244" spans="1:16">
      <c r="A244" s="1" t="s">
        <v>406</v>
      </c>
      <c r="B244" s="8">
        <v>45671</v>
      </c>
      <c r="C244" s="9" t="str">
        <f t="shared" si="3"/>
        <v>Jan</v>
      </c>
      <c r="D244" s="1" t="s">
        <v>99</v>
      </c>
      <c r="E244" s="1">
        <v>42</v>
      </c>
      <c r="F244" s="1" t="s">
        <v>63</v>
      </c>
      <c r="G244" s="1" t="s">
        <v>31</v>
      </c>
      <c r="H244" s="1" t="s">
        <v>17</v>
      </c>
      <c r="I244" s="1" t="s">
        <v>48</v>
      </c>
      <c r="J244" s="1" t="s">
        <v>42</v>
      </c>
      <c r="K244" s="1">
        <v>2</v>
      </c>
      <c r="L244" s="1">
        <v>900</v>
      </c>
      <c r="M244" s="1">
        <v>1440</v>
      </c>
      <c r="N244" s="1">
        <v>20</v>
      </c>
      <c r="O244" s="2">
        <v>3</v>
      </c>
      <c r="P244" s="1" t="s">
        <v>35</v>
      </c>
    </row>
    <row r="245" spans="1:16">
      <c r="A245" s="1" t="s">
        <v>407</v>
      </c>
      <c r="B245" s="8">
        <v>45855</v>
      </c>
      <c r="C245" s="9" t="str">
        <f t="shared" si="3"/>
        <v>Jul</v>
      </c>
      <c r="D245" s="1" t="s">
        <v>339</v>
      </c>
      <c r="E245" s="1">
        <v>39</v>
      </c>
      <c r="F245" s="1" t="s">
        <v>66</v>
      </c>
      <c r="G245" s="1" t="s">
        <v>26</v>
      </c>
      <c r="H245" s="1" t="s">
        <v>22</v>
      </c>
      <c r="I245" s="1" t="s">
        <v>46</v>
      </c>
      <c r="J245" s="1" t="s">
        <v>40</v>
      </c>
      <c r="K245" s="1">
        <v>1</v>
      </c>
      <c r="L245" s="1">
        <v>600</v>
      </c>
      <c r="M245" s="1">
        <v>570</v>
      </c>
      <c r="N245" s="1">
        <v>5</v>
      </c>
      <c r="O245" s="2">
        <v>3</v>
      </c>
      <c r="P245" s="1" t="s">
        <v>35</v>
      </c>
    </row>
    <row r="246" spans="1:16">
      <c r="A246" s="1" t="s">
        <v>408</v>
      </c>
      <c r="B246" s="8">
        <v>45949</v>
      </c>
      <c r="C246" s="9" t="str">
        <f t="shared" si="3"/>
        <v>Oct</v>
      </c>
      <c r="D246" s="1" t="s">
        <v>409</v>
      </c>
      <c r="E246" s="1">
        <v>20</v>
      </c>
      <c r="F246" s="1" t="s">
        <v>66</v>
      </c>
      <c r="G246" s="1" t="s">
        <v>31</v>
      </c>
      <c r="H246" s="1" t="s">
        <v>23</v>
      </c>
      <c r="I246" s="1" t="s">
        <v>49</v>
      </c>
      <c r="J246" s="1" t="s">
        <v>40</v>
      </c>
      <c r="K246" s="1">
        <v>4</v>
      </c>
      <c r="L246" s="1">
        <v>800</v>
      </c>
      <c r="M246" s="1">
        <v>2720</v>
      </c>
      <c r="N246" s="1">
        <v>15</v>
      </c>
      <c r="O246" s="2">
        <v>3</v>
      </c>
      <c r="P246" s="1" t="s">
        <v>36</v>
      </c>
    </row>
    <row r="247" spans="1:16">
      <c r="A247" s="1" t="s">
        <v>410</v>
      </c>
      <c r="B247" s="8">
        <v>45844</v>
      </c>
      <c r="C247" s="9" t="str">
        <f t="shared" si="3"/>
        <v>Jul</v>
      </c>
      <c r="D247" s="1" t="s">
        <v>411</v>
      </c>
      <c r="E247" s="1">
        <v>44</v>
      </c>
      <c r="F247" s="1" t="s">
        <v>63</v>
      </c>
      <c r="G247" s="1" t="s">
        <v>28</v>
      </c>
      <c r="H247" s="1" t="s">
        <v>17</v>
      </c>
      <c r="I247" s="1" t="s">
        <v>48</v>
      </c>
      <c r="J247" s="1" t="s">
        <v>41</v>
      </c>
      <c r="K247" s="1">
        <v>4</v>
      </c>
      <c r="L247" s="1">
        <v>900</v>
      </c>
      <c r="M247" s="1">
        <v>3420</v>
      </c>
      <c r="N247" s="1">
        <v>5</v>
      </c>
      <c r="O247" s="2">
        <v>4</v>
      </c>
      <c r="P247" s="1" t="s">
        <v>36</v>
      </c>
    </row>
    <row r="248" spans="1:16">
      <c r="A248" s="1" t="s">
        <v>412</v>
      </c>
      <c r="B248" s="8">
        <v>45744</v>
      </c>
      <c r="C248" s="9" t="str">
        <f t="shared" si="3"/>
        <v>Mar</v>
      </c>
      <c r="D248" s="1" t="s">
        <v>126</v>
      </c>
      <c r="E248" s="1">
        <v>19</v>
      </c>
      <c r="F248" s="1" t="s">
        <v>63</v>
      </c>
      <c r="G248" s="1" t="s">
        <v>33</v>
      </c>
      <c r="H248" s="1" t="s">
        <v>18</v>
      </c>
      <c r="I248" s="1" t="s">
        <v>47</v>
      </c>
      <c r="J248" s="1" t="s">
        <v>42</v>
      </c>
      <c r="K248" s="1">
        <v>2</v>
      </c>
      <c r="L248" s="1">
        <v>850</v>
      </c>
      <c r="M248" s="1">
        <v>1530</v>
      </c>
      <c r="N248" s="1">
        <v>10</v>
      </c>
      <c r="O248" s="2">
        <v>5</v>
      </c>
      <c r="P248" s="1" t="s">
        <v>36</v>
      </c>
    </row>
    <row r="249" spans="1:16">
      <c r="A249" s="1" t="s">
        <v>413</v>
      </c>
      <c r="B249" s="8">
        <v>45837</v>
      </c>
      <c r="C249" s="9" t="str">
        <f t="shared" si="3"/>
        <v>Jun</v>
      </c>
      <c r="D249" s="1" t="s">
        <v>103</v>
      </c>
      <c r="E249" s="1">
        <v>30</v>
      </c>
      <c r="F249" s="1" t="s">
        <v>63</v>
      </c>
      <c r="G249" s="1" t="s">
        <v>31</v>
      </c>
      <c r="H249" s="1" t="s">
        <v>19</v>
      </c>
      <c r="I249" s="1" t="s">
        <v>49</v>
      </c>
      <c r="J249" s="1" t="s">
        <v>41</v>
      </c>
      <c r="K249" s="1">
        <v>1</v>
      </c>
      <c r="L249" s="1">
        <v>700</v>
      </c>
      <c r="M249" s="1">
        <v>665</v>
      </c>
      <c r="N249" s="1">
        <v>5</v>
      </c>
      <c r="O249" s="2">
        <v>3</v>
      </c>
      <c r="P249" s="1" t="s">
        <v>35</v>
      </c>
    </row>
    <row r="250" spans="1:16">
      <c r="A250" s="1" t="s">
        <v>414</v>
      </c>
      <c r="B250" s="8">
        <v>45698</v>
      </c>
      <c r="C250" s="9" t="str">
        <f t="shared" si="3"/>
        <v>Feb</v>
      </c>
      <c r="D250" s="1" t="s">
        <v>415</v>
      </c>
      <c r="E250" s="1">
        <v>35</v>
      </c>
      <c r="F250" s="1" t="s">
        <v>66</v>
      </c>
      <c r="G250" s="1" t="s">
        <v>30</v>
      </c>
      <c r="H250" s="1" t="s">
        <v>17</v>
      </c>
      <c r="I250" s="1" t="s">
        <v>48</v>
      </c>
      <c r="J250" s="1" t="s">
        <v>41</v>
      </c>
      <c r="K250" s="1">
        <v>4</v>
      </c>
      <c r="L250" s="1">
        <v>900</v>
      </c>
      <c r="M250" s="1">
        <v>3060</v>
      </c>
      <c r="N250" s="1">
        <v>15</v>
      </c>
      <c r="O250" s="2">
        <v>5</v>
      </c>
      <c r="P250" s="1" t="s">
        <v>35</v>
      </c>
    </row>
    <row r="251" spans="1:16">
      <c r="A251" s="1" t="s">
        <v>416</v>
      </c>
      <c r="B251" s="8">
        <v>45867</v>
      </c>
      <c r="C251" s="9" t="str">
        <f t="shared" si="3"/>
        <v>Jul</v>
      </c>
      <c r="D251" s="1" t="s">
        <v>108</v>
      </c>
      <c r="E251" s="1">
        <v>31</v>
      </c>
      <c r="F251" s="1" t="s">
        <v>63</v>
      </c>
      <c r="G251" s="1" t="s">
        <v>31</v>
      </c>
      <c r="H251" s="1" t="s">
        <v>22</v>
      </c>
      <c r="I251" s="1" t="s">
        <v>46</v>
      </c>
      <c r="J251" s="1" t="s">
        <v>44</v>
      </c>
      <c r="K251" s="1">
        <v>2</v>
      </c>
      <c r="L251" s="1">
        <v>600</v>
      </c>
      <c r="M251" s="1">
        <v>960</v>
      </c>
      <c r="N251" s="1">
        <v>20</v>
      </c>
      <c r="O251" s="2">
        <v>4</v>
      </c>
      <c r="P251" s="1" t="s">
        <v>37</v>
      </c>
    </row>
    <row r="252" spans="1:16">
      <c r="A252" s="1" t="s">
        <v>417</v>
      </c>
      <c r="B252" s="8">
        <v>45868</v>
      </c>
      <c r="C252" s="9" t="str">
        <f t="shared" si="3"/>
        <v>Jul</v>
      </c>
      <c r="D252" s="1" t="s">
        <v>119</v>
      </c>
      <c r="E252" s="1">
        <v>31</v>
      </c>
      <c r="F252" s="1" t="s">
        <v>63</v>
      </c>
      <c r="G252" s="1" t="s">
        <v>31</v>
      </c>
      <c r="H252" s="1" t="s">
        <v>22</v>
      </c>
      <c r="I252" s="1" t="s">
        <v>46</v>
      </c>
      <c r="J252" s="1" t="s">
        <v>44</v>
      </c>
      <c r="K252" s="1">
        <v>2</v>
      </c>
      <c r="L252" s="1">
        <v>600</v>
      </c>
      <c r="M252" s="1">
        <v>960</v>
      </c>
      <c r="N252" s="1">
        <v>20</v>
      </c>
      <c r="O252" s="2">
        <v>4</v>
      </c>
      <c r="P252" s="1" t="s">
        <v>37</v>
      </c>
    </row>
    <row r="253" spans="1:16">
      <c r="L25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2026-06-22T12:49:00Z</dcterms:created>
  <dcterms:modified xsi:type="dcterms:W3CDTF">2026-06-22T16:47:46Z</dcterms:modified>
  <cp:category/>
  <cp:contentStatus/>
</cp:coreProperties>
</file>